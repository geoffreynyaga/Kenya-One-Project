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geoff/Documents/code/Kenya-One-Project/spreadsheets/"/>
    </mc:Choice>
  </mc:AlternateContent>
  <xr:revisionPtr revIDLastSave="0" documentId="13_ncr:1_{01006089-97CF-4344-8CEE-8EE1F39E3684}" xr6:coauthVersionLast="47" xr6:coauthVersionMax="47" xr10:uidLastSave="{00000000-0000-0000-0000-000000000000}"/>
  <bookViews>
    <workbookView xWindow="0" yWindow="600" windowWidth="36080" windowHeight="20920" activeTab="1" xr2:uid="{00000000-000D-0000-FFFF-FFFF00000000}"/>
  </bookViews>
  <sheets>
    <sheet name="Aileron" sheetId="1" r:id="rId1"/>
    <sheet name="Elevator" sheetId="2" r:id="rId2"/>
    <sheet name="Rudder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E6" i="2"/>
  <c r="E5" i="2"/>
  <c r="E4" i="2"/>
  <c r="E3" i="2"/>
  <c r="B12" i="1"/>
  <c r="B10" i="1"/>
  <c r="B7" i="1"/>
  <c r="B6" i="1"/>
  <c r="B11" i="1"/>
  <c r="B5" i="1"/>
  <c r="E7" i="2" l="1"/>
  <c r="B6" i="2"/>
  <c r="H5" i="2" l="1"/>
  <c r="H3" i="2"/>
  <c r="B4" i="3"/>
  <c r="N4" i="3"/>
  <c r="B3" i="3" l="1"/>
  <c r="K6" i="3" s="1"/>
  <c r="K7" i="3" s="1"/>
  <c r="B11" i="3" l="1"/>
  <c r="L6" i="1"/>
  <c r="L5" i="1" s="1"/>
  <c r="L7" i="1" s="1"/>
  <c r="G26" i="3" l="1"/>
  <c r="G20" i="3"/>
  <c r="E3" i="3"/>
  <c r="B10" i="3" l="1"/>
  <c r="D10" i="1"/>
  <c r="J31" i="2" l="1"/>
  <c r="J29" i="2"/>
  <c r="P39" i="2"/>
  <c r="P40" i="2"/>
  <c r="P41" i="2"/>
  <c r="P42" i="2"/>
  <c r="P43" i="2"/>
  <c r="P44" i="2"/>
  <c r="P45" i="2"/>
  <c r="P38" i="2"/>
  <c r="V39" i="2"/>
  <c r="V40" i="2"/>
  <c r="V41" i="2"/>
  <c r="V42" i="2"/>
  <c r="V43" i="2"/>
  <c r="V44" i="2"/>
  <c r="V45" i="2"/>
  <c r="V38" i="2"/>
  <c r="E39" i="2"/>
  <c r="B42" i="2" s="1"/>
  <c r="E41" i="2" s="1"/>
  <c r="B10" i="2" l="1"/>
  <c r="E16" i="2"/>
  <c r="G30" i="2"/>
  <c r="B30" i="2"/>
  <c r="G11" i="3" l="1"/>
  <c r="B39" i="3"/>
  <c r="H32" i="3"/>
  <c r="H2" i="3"/>
  <c r="E18" i="2" l="1"/>
  <c r="B12" i="3"/>
  <c r="E9" i="3"/>
  <c r="E4" i="3"/>
  <c r="B38" i="3" l="1"/>
  <c r="B40" i="3" s="1"/>
  <c r="B13" i="3"/>
  <c r="E7" i="3" s="1"/>
  <c r="E8" i="3" s="1"/>
  <c r="E13" i="3"/>
  <c r="E14" i="3" s="1"/>
  <c r="E5" i="3"/>
  <c r="G23" i="3"/>
  <c r="G24" i="3"/>
  <c r="G25" i="3"/>
  <c r="G21" i="3"/>
  <c r="B41" i="2"/>
  <c r="J39" i="2"/>
  <c r="J40" i="2"/>
  <c r="J41" i="2"/>
  <c r="J42" i="2"/>
  <c r="J43" i="2"/>
  <c r="J44" i="2"/>
  <c r="J45" i="2"/>
  <c r="J38" i="2"/>
  <c r="G22" i="3" l="1"/>
  <c r="B43" i="2"/>
  <c r="D18" i="1"/>
  <c r="H24" i="2" l="1"/>
  <c r="E8" i="2" l="1"/>
  <c r="E17" i="3" l="1"/>
  <c r="U41" i="2"/>
  <c r="U45" i="2"/>
  <c r="G31" i="2"/>
  <c r="U42" i="2"/>
  <c r="U38" i="2"/>
  <c r="U39" i="2"/>
  <c r="U43" i="2"/>
  <c r="K38" i="2"/>
  <c r="U40" i="2"/>
  <c r="U44" i="2"/>
  <c r="B16" i="3"/>
  <c r="K39" i="2"/>
  <c r="K43" i="2"/>
  <c r="K40" i="2"/>
  <c r="K45" i="2"/>
  <c r="K41" i="2"/>
  <c r="K44" i="2"/>
  <c r="K42" i="2"/>
  <c r="B13" i="1"/>
  <c r="C21" i="3" s="1"/>
  <c r="A26" i="3" l="1"/>
  <c r="B26" i="3" s="1"/>
  <c r="C25" i="3"/>
  <c r="A20" i="3"/>
  <c r="B20" i="3" s="1"/>
  <c r="C24" i="3"/>
  <c r="E16" i="3"/>
  <c r="C26" i="3"/>
  <c r="A25" i="3"/>
  <c r="B25" i="3" s="1"/>
  <c r="C23" i="3"/>
  <c r="C22" i="3"/>
  <c r="A21" i="3"/>
  <c r="B21" i="3" s="1"/>
  <c r="A22" i="3"/>
  <c r="B22" i="3" s="1"/>
  <c r="A23" i="3"/>
  <c r="B23" i="3" s="1"/>
  <c r="C20" i="3"/>
  <c r="A24" i="3"/>
  <c r="B24" i="3" s="1"/>
  <c r="B15" i="1"/>
  <c r="B2" i="2"/>
  <c r="H14" i="1"/>
  <c r="B14" i="3"/>
  <c r="B17" i="3" s="1"/>
  <c r="B16" i="1"/>
  <c r="E22" i="1"/>
  <c r="H13" i="1"/>
  <c r="B26" i="1" s="1"/>
  <c r="D21" i="3" l="1"/>
  <c r="E21" i="3" s="1"/>
  <c r="D23" i="3"/>
  <c r="E23" i="3" s="1"/>
  <c r="D26" i="3"/>
  <c r="E26" i="3" s="1"/>
  <c r="D24" i="3"/>
  <c r="E24" i="3" s="1"/>
  <c r="B27" i="1"/>
  <c r="B28" i="1" s="1"/>
  <c r="B29" i="1" s="1"/>
  <c r="B14" i="1"/>
  <c r="H15" i="1" s="1"/>
  <c r="H18" i="1" s="1"/>
  <c r="B21" i="1" s="1"/>
  <c r="E23" i="1" s="1"/>
  <c r="H20" i="1" s="1"/>
  <c r="J20" i="1" s="1"/>
  <c r="R45" i="2"/>
  <c r="R40" i="2"/>
  <c r="R42" i="2"/>
  <c r="R39" i="2"/>
  <c r="R41" i="2"/>
  <c r="R44" i="2"/>
  <c r="R38" i="2"/>
  <c r="G29" i="2"/>
  <c r="R43" i="2"/>
  <c r="B31" i="2"/>
  <c r="Q41" i="2"/>
  <c r="Q45" i="2"/>
  <c r="Q43" i="2"/>
  <c r="Q38" i="2"/>
  <c r="Q39" i="2"/>
  <c r="Q44" i="2"/>
  <c r="E15" i="2"/>
  <c r="Q40" i="2"/>
  <c r="Q42" i="2"/>
  <c r="H22" i="2"/>
  <c r="H12" i="2"/>
  <c r="E19" i="2" s="1"/>
  <c r="F36" i="3"/>
  <c r="F37" i="3" s="1"/>
  <c r="C33" i="3"/>
  <c r="C34" i="3" s="1"/>
  <c r="D25" i="3"/>
  <c r="E25" i="3" s="1"/>
  <c r="D20" i="3"/>
  <c r="E20" i="3" s="1"/>
  <c r="D22" i="3"/>
  <c r="E22" i="3" s="1"/>
  <c r="H23" i="2" l="1"/>
  <c r="J30" i="2" s="1"/>
  <c r="H25" i="2"/>
  <c r="H26" i="2" s="1"/>
  <c r="B26" i="2" s="1"/>
  <c r="H21" i="1"/>
  <c r="B35" i="1" l="1"/>
  <c r="B36" i="1"/>
  <c r="B33" i="1"/>
  <c r="B37" i="1"/>
  <c r="B34" i="1"/>
  <c r="B41" i="1"/>
  <c r="B38" i="1"/>
  <c r="B40" i="1"/>
  <c r="H23" i="1"/>
  <c r="B39" i="1"/>
  <c r="A46" i="1" l="1"/>
  <c r="A44" i="1"/>
  <c r="A45" i="1"/>
  <c r="B5" i="2" l="1"/>
  <c r="B9" i="2" l="1"/>
  <c r="B12" i="2" s="1"/>
  <c r="F10" i="2" s="1"/>
  <c r="H11" i="2" s="1"/>
  <c r="E17" i="2" s="1"/>
  <c r="D10" i="2" l="1"/>
  <c r="B11" i="2" l="1"/>
  <c r="B14" i="2" s="1"/>
  <c r="B15" i="2" s="1"/>
  <c r="E20" i="2" s="1"/>
  <c r="E22" i="2" s="1"/>
  <c r="E23" i="2" s="1"/>
  <c r="B27" i="2" s="1"/>
  <c r="B33" i="2" l="1"/>
  <c r="S42" i="2"/>
  <c r="S45" i="2"/>
  <c r="S39" i="2"/>
  <c r="B32" i="2"/>
  <c r="S41" i="2"/>
  <c r="S38" i="2"/>
  <c r="B34" i="2"/>
  <c r="S44" i="2"/>
  <c r="S40" i="2"/>
  <c r="S43" i="2"/>
  <c r="N41" i="2" l="1"/>
  <c r="O41" i="2" s="1"/>
  <c r="Y41" i="2"/>
  <c r="Z41" i="2" s="1"/>
  <c r="I39" i="2"/>
  <c r="I43" i="2"/>
  <c r="I41" i="2"/>
  <c r="I40" i="2"/>
  <c r="I45" i="2"/>
  <c r="I42" i="2"/>
  <c r="I44" i="2"/>
  <c r="I38" i="2"/>
  <c r="Y38" i="2"/>
  <c r="Z38" i="2" s="1"/>
  <c r="N38" i="2"/>
  <c r="O38" i="2" s="1"/>
  <c r="L45" i="2"/>
  <c r="M45" i="2" s="1"/>
  <c r="L40" i="2"/>
  <c r="M40" i="2" s="1"/>
  <c r="G32" i="2"/>
  <c r="G33" i="2" s="1"/>
  <c r="W43" i="2"/>
  <c r="X43" i="2" s="1"/>
  <c r="W40" i="2"/>
  <c r="X40" i="2" s="1"/>
  <c r="L42" i="2"/>
  <c r="M42" i="2" s="1"/>
  <c r="W39" i="2"/>
  <c r="X39" i="2" s="1"/>
  <c r="L41" i="2"/>
  <c r="M41" i="2" s="1"/>
  <c r="L39" i="2"/>
  <c r="M39" i="2" s="1"/>
  <c r="W44" i="2"/>
  <c r="X44" i="2" s="1"/>
  <c r="L43" i="2"/>
  <c r="M43" i="2" s="1"/>
  <c r="W42" i="2"/>
  <c r="X42" i="2" s="1"/>
  <c r="W45" i="2"/>
  <c r="X45" i="2" s="1"/>
  <c r="W38" i="2"/>
  <c r="X38" i="2" s="1"/>
  <c r="L44" i="2"/>
  <c r="M44" i="2" s="1"/>
  <c r="W41" i="2"/>
  <c r="X41" i="2" s="1"/>
  <c r="L38" i="2"/>
  <c r="M38" i="2" s="1"/>
  <c r="Y39" i="2"/>
  <c r="Z39" i="2" s="1"/>
  <c r="N39" i="2"/>
  <c r="O39" i="2" s="1"/>
  <c r="N43" i="2"/>
  <c r="O43" i="2" s="1"/>
  <c r="Y43" i="2"/>
  <c r="Z43" i="2" s="1"/>
  <c r="Y45" i="2"/>
  <c r="Z45" i="2" s="1"/>
  <c r="N45" i="2"/>
  <c r="O45" i="2" s="1"/>
  <c r="Y40" i="2"/>
  <c r="Z40" i="2" s="1"/>
  <c r="N40" i="2"/>
  <c r="O40" i="2" s="1"/>
  <c r="N42" i="2"/>
  <c r="O42" i="2" s="1"/>
  <c r="Y42" i="2"/>
  <c r="Z42" i="2" s="1"/>
  <c r="Y44" i="2"/>
  <c r="Z44" i="2" s="1"/>
  <c r="N44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G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this as par FAR 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Geoffrey Nyaga</author>
    <author>Windows User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expected max deflection</t>
        </r>
      </text>
    </comment>
    <comment ref="B2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consult Raymer table 16.1
</t>
        </r>
      </text>
    </comment>
    <comment ref="A3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Geoffrey Nyaga: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fuselage diameter</t>
        </r>
      </text>
    </comment>
    <comment ref="A4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Geoffrey Nyaga: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fuselage length</t>
        </r>
      </text>
    </comment>
    <comment ref="A13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total thrust on both engines
</t>
        </r>
      </text>
    </comment>
    <comment ref="A31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volume coefficient using
 aft cg</t>
        </r>
      </text>
    </comment>
    <comment ref="J31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use table 12.19 Sadraey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Geoffrey Nyaga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crosswind</t>
        </r>
      </text>
    </comment>
    <comment ref="G2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Geoffrey Nyaga:</t>
        </r>
        <r>
          <rPr>
            <sz val="9"/>
            <color indexed="81"/>
            <rFont val="Tahoma"/>
            <family val="2"/>
          </rPr>
          <t xml:space="preserve">
minimum cobtrol speed</t>
        </r>
      </text>
    </comment>
    <comment ref="D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aft cg considered</t>
        </r>
      </text>
    </comment>
    <comment ref="E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update this distance when cg change
</t>
        </r>
      </text>
    </comment>
    <comment ref="A1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vertical tail volume coefficient at aft cg
</t>
        </r>
      </text>
    </comment>
    <comment ref="B33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when one engine ineoperative</t>
        </r>
      </text>
    </comment>
  </commentList>
</comments>
</file>

<file path=xl/sharedStrings.xml><?xml version="1.0" encoding="utf-8"?>
<sst xmlns="http://schemas.openxmlformats.org/spreadsheetml/2006/main" count="332" uniqueCount="235">
  <si>
    <t>MTOW</t>
  </si>
  <si>
    <t>kg</t>
  </si>
  <si>
    <t>AR</t>
  </si>
  <si>
    <t>Sh</t>
  </si>
  <si>
    <t>S</t>
  </si>
  <si>
    <t>Sv</t>
  </si>
  <si>
    <t>Vs</t>
  </si>
  <si>
    <t>knots</t>
  </si>
  <si>
    <t>m/s</t>
  </si>
  <si>
    <t>b</t>
  </si>
  <si>
    <t>m</t>
  </si>
  <si>
    <t>sq m</t>
  </si>
  <si>
    <t>bai/b</t>
  </si>
  <si>
    <t>ba0/b</t>
  </si>
  <si>
    <t>%</t>
  </si>
  <si>
    <t>Ca/C</t>
  </si>
  <si>
    <t>τ</t>
  </si>
  <si>
    <t>obtain value from figure 12.12 Sadraey</t>
  </si>
  <si>
    <t>consult Raymer table 16.1</t>
  </si>
  <si>
    <r>
      <t>Cl</t>
    </r>
    <r>
      <rPr>
        <vertAlign val="subscript"/>
        <sz val="11"/>
        <color theme="1"/>
        <rFont val="Calibri"/>
        <family val="2"/>
      </rPr>
      <t>δA</t>
    </r>
  </si>
  <si>
    <r>
      <t>CL</t>
    </r>
    <r>
      <rPr>
        <vertAlign val="subscript"/>
        <sz val="11"/>
        <color theme="1"/>
        <rFont val="Calibri"/>
        <family val="2"/>
      </rPr>
      <t>αw</t>
    </r>
  </si>
  <si>
    <t>yo</t>
  </si>
  <si>
    <t>yi</t>
  </si>
  <si>
    <r>
      <rPr>
        <sz val="11"/>
        <color theme="1"/>
        <rFont val="Calibri"/>
        <family val="2"/>
      </rPr>
      <t>δA</t>
    </r>
    <r>
      <rPr>
        <vertAlign val="subscript"/>
        <sz val="11"/>
        <color theme="1"/>
        <rFont val="Calibri"/>
        <family val="2"/>
      </rPr>
      <t>max</t>
    </r>
  </si>
  <si>
    <t>deg</t>
  </si>
  <si>
    <t>Cl</t>
  </si>
  <si>
    <r>
      <t>V</t>
    </r>
    <r>
      <rPr>
        <vertAlign val="subscript"/>
        <sz val="11"/>
        <color theme="1"/>
        <rFont val="Calibri"/>
        <family val="2"/>
      </rPr>
      <t>app</t>
    </r>
    <r>
      <rPr>
        <sz val="11"/>
        <color theme="1"/>
        <rFont val="Calibri"/>
        <family val="2"/>
      </rPr>
      <t>/V</t>
    </r>
    <r>
      <rPr>
        <vertAlign val="subscript"/>
        <sz val="11"/>
        <color theme="1"/>
        <rFont val="Calibri"/>
        <family val="2"/>
      </rPr>
      <t>s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</si>
  <si>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app </t>
    </r>
    <r>
      <rPr>
        <sz val="11"/>
        <color theme="1"/>
        <rFont val="Calibri"/>
        <family val="2"/>
        <scheme val="minor"/>
      </rPr>
      <t>=</t>
    </r>
  </si>
  <si>
    <r>
      <t>L</t>
    </r>
    <r>
      <rPr>
        <vertAlign val="subscript"/>
        <sz val="11"/>
        <color theme="1"/>
        <rFont val="Calibri"/>
        <family val="2"/>
      </rPr>
      <t>A</t>
    </r>
  </si>
  <si>
    <t>Nm</t>
  </si>
  <si>
    <t>Pss</t>
  </si>
  <si>
    <r>
      <t>C</t>
    </r>
    <r>
      <rPr>
        <vertAlign val="subscript"/>
        <sz val="11"/>
        <color theme="1"/>
        <rFont val="Calibri"/>
        <family val="2"/>
        <scheme val="minor"/>
      </rPr>
      <t>DR</t>
    </r>
  </si>
  <si>
    <r>
      <t>y</t>
    </r>
    <r>
      <rPr>
        <vertAlign val="subscript"/>
        <sz val="11"/>
        <color theme="1"/>
        <rFont val="Calibri"/>
        <family val="2"/>
        <scheme val="minor"/>
      </rPr>
      <t>D</t>
    </r>
  </si>
  <si>
    <t>Drag moment arm(%wing span)</t>
  </si>
  <si>
    <t>(0.7-1.2)</t>
  </si>
  <si>
    <r>
      <rPr>
        <sz val="11"/>
        <color theme="1"/>
        <rFont val="Calibri"/>
        <family val="2"/>
      </rPr>
      <t>φ</t>
    </r>
    <r>
      <rPr>
        <vertAlign val="subscript"/>
        <sz val="11"/>
        <color theme="1"/>
        <rFont val="Calibri"/>
        <family val="2"/>
      </rPr>
      <t>1</t>
    </r>
  </si>
  <si>
    <t>rad</t>
  </si>
  <si>
    <t xml:space="preserve">rad    </t>
  </si>
  <si>
    <t>P</t>
  </si>
  <si>
    <r>
      <t>rad/s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</si>
  <si>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t</t>
    </r>
    <r>
      <rPr>
        <vertAlign val="subscript"/>
        <sz val="11"/>
        <color theme="1"/>
        <rFont val="Calibri"/>
        <family val="2"/>
        <scheme val="minor"/>
      </rPr>
      <t>2</t>
    </r>
  </si>
  <si>
    <t>s</t>
  </si>
  <si>
    <r>
      <t>t</t>
    </r>
    <r>
      <rPr>
        <vertAlign val="subscript"/>
        <sz val="11"/>
        <color theme="1"/>
        <rFont val="Calibri"/>
        <family val="2"/>
        <scheme val="minor"/>
      </rPr>
      <t>req</t>
    </r>
  </si>
  <si>
    <r>
      <t>b</t>
    </r>
    <r>
      <rPr>
        <vertAlign val="subscript"/>
        <sz val="11"/>
        <color theme="1"/>
        <rFont val="Calibri"/>
        <family val="2"/>
        <scheme val="minor"/>
      </rPr>
      <t>A</t>
    </r>
  </si>
  <si>
    <r>
      <t>C</t>
    </r>
    <r>
      <rPr>
        <vertAlign val="subscript"/>
        <sz val="11"/>
        <color theme="1"/>
        <rFont val="Calibri"/>
        <family val="2"/>
        <scheme val="minor"/>
      </rPr>
      <t>A</t>
    </r>
  </si>
  <si>
    <r>
      <t>A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(both)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</si>
  <si>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</si>
  <si>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/S</t>
    </r>
  </si>
  <si>
    <t>aileron geometry</t>
  </si>
  <si>
    <t>always ensure this is the case</t>
  </si>
  <si>
    <r>
      <t>t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</rPr>
      <t>&lt;t</t>
    </r>
    <r>
      <rPr>
        <vertAlign val="subscript"/>
        <sz val="12"/>
        <color theme="1"/>
        <rFont val="Calibri"/>
        <family val="2"/>
      </rPr>
      <t>req</t>
    </r>
  </si>
  <si>
    <r>
      <rPr>
        <sz val="11"/>
        <color theme="1"/>
        <rFont val="Calibri"/>
        <family val="2"/>
      </rPr>
      <t>φ</t>
    </r>
    <r>
      <rPr>
        <vertAlign val="subscript"/>
        <sz val="11"/>
        <color theme="1"/>
        <rFont val="Calibri"/>
        <family val="2"/>
      </rPr>
      <t>req</t>
    </r>
  </si>
  <si>
    <r>
      <t>φ</t>
    </r>
    <r>
      <rPr>
        <vertAlign val="subscript"/>
        <sz val="11"/>
        <color theme="1"/>
        <rFont val="Calibri"/>
        <family val="2"/>
      </rPr>
      <t>des</t>
    </r>
  </si>
  <si>
    <t>cdoto</t>
  </si>
  <si>
    <t>Vc</t>
  </si>
  <si>
    <t>KTAS</t>
  </si>
  <si>
    <t>CDOC</t>
  </si>
  <si>
    <t>e</t>
  </si>
  <si>
    <t>cmawf</t>
  </si>
  <si>
    <t>iw</t>
  </si>
  <si>
    <t>ho</t>
  </si>
  <si>
    <t>αsto</t>
  </si>
  <si>
    <t>Tail</t>
  </si>
  <si>
    <t>Wing</t>
  </si>
  <si>
    <t>αhs</t>
  </si>
  <si>
    <t>k</t>
  </si>
  <si>
    <t>clc</t>
  </si>
  <si>
    <t>clto</t>
  </si>
  <si>
    <t>cdto</t>
  </si>
  <si>
    <t>VR</t>
  </si>
  <si>
    <t>N</t>
  </si>
  <si>
    <t>µ</t>
  </si>
  <si>
    <t>Ff</t>
  </si>
  <si>
    <t>a</t>
  </si>
  <si>
    <t>Thrust</t>
  </si>
  <si>
    <t>m/sq s</t>
  </si>
  <si>
    <t>ϵ</t>
  </si>
  <si>
    <t>=</t>
  </si>
  <si>
    <t>δϵ/δα</t>
  </si>
  <si>
    <t>deg/deg</t>
  </si>
  <si>
    <r>
      <t>ϵ</t>
    </r>
    <r>
      <rPr>
        <vertAlign val="subscript"/>
        <sz val="11"/>
        <color theme="1"/>
        <rFont val="Calibri"/>
        <family val="2"/>
      </rPr>
      <t>o</t>
    </r>
  </si>
  <si>
    <t>ah</t>
  </si>
  <si>
    <t>τe</t>
  </si>
  <si>
    <t>CE/Ch</t>
  </si>
  <si>
    <t>use figure 12.12 Sadraey to determine</t>
  </si>
  <si>
    <r>
      <t>∆α</t>
    </r>
    <r>
      <rPr>
        <vertAlign val="subscript"/>
        <sz val="11"/>
        <color theme="1"/>
        <rFont val="Calibri"/>
        <family val="2"/>
      </rPr>
      <t>OE</t>
    </r>
  </si>
  <si>
    <t>1/rad</t>
  </si>
  <si>
    <t>h</t>
  </si>
  <si>
    <t>q</t>
  </si>
  <si>
    <t>Pa</t>
  </si>
  <si>
    <t>CL1</t>
  </si>
  <si>
    <t>cmo</t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</si>
  <si>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TO</t>
    </r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</si>
  <si>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hTO</t>
    </r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</si>
  <si>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hs</t>
    </r>
  </si>
  <si>
    <t>bh</t>
  </si>
  <si>
    <t>bE/bh</t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</si>
  <si>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</si>
  <si>
    <r>
      <t>S</t>
    </r>
    <r>
      <rPr>
        <vertAlign val="subscript"/>
        <sz val="11"/>
        <color theme="1"/>
        <rFont val="Calibri"/>
        <family val="2"/>
        <scheme val="minor"/>
      </rPr>
      <t>E</t>
    </r>
  </si>
  <si>
    <r>
      <t>C</t>
    </r>
    <r>
      <rPr>
        <vertAlign val="subscript"/>
        <sz val="11"/>
        <color theme="1"/>
        <rFont val="Calibri"/>
        <family val="2"/>
        <scheme val="minor"/>
      </rPr>
      <t>h</t>
    </r>
  </si>
  <si>
    <r>
      <t>b</t>
    </r>
    <r>
      <rPr>
        <vertAlign val="subscript"/>
        <sz val="11"/>
        <color theme="1"/>
        <rFont val="Calibri"/>
        <family val="2"/>
        <scheme val="minor"/>
      </rPr>
      <t>E</t>
    </r>
  </si>
  <si>
    <r>
      <t>CL</t>
    </r>
    <r>
      <rPr>
        <sz val="11"/>
        <color theme="1"/>
        <rFont val="Calibri"/>
        <family val="2"/>
      </rPr>
      <t>αV</t>
    </r>
  </si>
  <si>
    <t>ηv</t>
  </si>
  <si>
    <t>δα/δβ</t>
  </si>
  <si>
    <t>Cno</t>
  </si>
  <si>
    <t>Cyo</t>
  </si>
  <si>
    <t>Knots</t>
  </si>
  <si>
    <t>Sf</t>
  </si>
  <si>
    <t>Ss</t>
  </si>
  <si>
    <r>
      <t>b</t>
    </r>
    <r>
      <rPr>
        <vertAlign val="subscript"/>
        <sz val="11"/>
        <color theme="1"/>
        <rFont val="Calibri"/>
        <family val="2"/>
        <scheme val="minor"/>
      </rPr>
      <t>V</t>
    </r>
  </si>
  <si>
    <t>Cv</t>
  </si>
  <si>
    <t>xca</t>
  </si>
  <si>
    <t>xf</t>
  </si>
  <si>
    <t>xv</t>
  </si>
  <si>
    <t>dc</t>
  </si>
  <si>
    <t>β</t>
  </si>
  <si>
    <r>
      <t xml:space="preserve"> C</t>
    </r>
    <r>
      <rPr>
        <vertAlign val="subscript"/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</rPr>
      <t>β</t>
    </r>
  </si>
  <si>
    <r>
      <t>K</t>
    </r>
    <r>
      <rPr>
        <vertAlign val="subscript"/>
        <sz val="11"/>
        <color theme="1"/>
        <rFont val="Calibri"/>
        <family val="2"/>
      </rPr>
      <t>f1</t>
    </r>
  </si>
  <si>
    <r>
      <t xml:space="preserve"> C</t>
    </r>
    <r>
      <rPr>
        <vertAlign val="subscript"/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</rPr>
      <t>β</t>
    </r>
  </si>
  <si>
    <t>τr</t>
  </si>
  <si>
    <r>
      <t>C</t>
    </r>
    <r>
      <rPr>
        <vertAlign val="subscript"/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</rPr>
      <t>δR</t>
    </r>
  </si>
  <si>
    <r>
      <t>C</t>
    </r>
    <r>
      <rPr>
        <vertAlign val="subscript"/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</rPr>
      <t>δR</t>
    </r>
  </si>
  <si>
    <t>total</t>
  </si>
  <si>
    <r>
      <t>V</t>
    </r>
    <r>
      <rPr>
        <vertAlign val="subscript"/>
        <sz val="11"/>
        <color theme="1"/>
        <rFont val="Calibri"/>
        <family val="2"/>
        <scheme val="minor"/>
      </rPr>
      <t>MC</t>
    </r>
  </si>
  <si>
    <t>dist_eng</t>
  </si>
  <si>
    <r>
      <rPr>
        <sz val="11"/>
        <color theme="1"/>
        <rFont val="Calibri"/>
        <family val="2"/>
      </rPr>
      <t>δ</t>
    </r>
    <r>
      <rPr>
        <vertAlign val="subscript"/>
        <sz val="11"/>
        <color theme="1"/>
        <rFont val="Calibri"/>
        <family val="2"/>
      </rPr>
      <t>R</t>
    </r>
  </si>
  <si>
    <r>
      <t>δ</t>
    </r>
    <r>
      <rPr>
        <vertAlign val="subscript"/>
        <sz val="11"/>
        <color theme="1"/>
        <rFont val="Calibri"/>
        <family val="2"/>
      </rPr>
      <t xml:space="preserve">R </t>
    </r>
    <r>
      <rPr>
        <sz val="11"/>
        <color theme="1"/>
        <rFont val="Calibri"/>
        <family val="2"/>
      </rPr>
      <t>req</t>
    </r>
  </si>
  <si>
    <r>
      <t>b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/b</t>
    </r>
    <r>
      <rPr>
        <vertAlign val="subscript"/>
        <sz val="11"/>
        <color theme="1"/>
        <rFont val="Calibri"/>
        <family val="2"/>
        <scheme val="minor"/>
      </rPr>
      <t>V</t>
    </r>
  </si>
  <si>
    <t>Geometry</t>
  </si>
  <si>
    <t>CR</t>
  </si>
  <si>
    <t>bR</t>
  </si>
  <si>
    <r>
      <t>C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/C</t>
    </r>
    <r>
      <rPr>
        <vertAlign val="subscript"/>
        <sz val="11"/>
        <color theme="1"/>
        <rFont val="Calibri"/>
        <family val="2"/>
        <scheme val="minor"/>
      </rPr>
      <t>V</t>
    </r>
  </si>
  <si>
    <t>SR</t>
  </si>
  <si>
    <r>
      <t>new V</t>
    </r>
    <r>
      <rPr>
        <vertAlign val="subscript"/>
        <sz val="11"/>
        <color theme="1"/>
        <rFont val="Calibri"/>
        <family val="2"/>
        <scheme val="minor"/>
      </rPr>
      <t>MC</t>
    </r>
  </si>
  <si>
    <r>
      <t>V</t>
    </r>
    <r>
      <rPr>
        <vertAlign val="subscript"/>
        <sz val="11"/>
        <color theme="1"/>
        <rFont val="Calibri"/>
        <family val="2"/>
      </rPr>
      <t>H</t>
    </r>
  </si>
  <si>
    <r>
      <t>C</t>
    </r>
    <r>
      <rPr>
        <vertAlign val="subscript"/>
        <sz val="11"/>
        <color theme="1"/>
        <rFont val="Calibri"/>
        <family val="2"/>
      </rPr>
      <t>mδE</t>
    </r>
  </si>
  <si>
    <r>
      <t>C</t>
    </r>
    <r>
      <rPr>
        <vertAlign val="subscript"/>
        <sz val="11"/>
        <color theme="1"/>
        <rFont val="Calibri"/>
        <family val="2"/>
      </rPr>
      <t>LδE</t>
    </r>
  </si>
  <si>
    <r>
      <t>C</t>
    </r>
    <r>
      <rPr>
        <vertAlign val="subscript"/>
        <sz val="11"/>
        <color theme="1"/>
        <rFont val="Calibri"/>
        <family val="2"/>
      </rPr>
      <t>LhδE</t>
    </r>
  </si>
  <si>
    <r>
      <t>δ</t>
    </r>
    <r>
      <rPr>
        <vertAlign val="subscript"/>
        <sz val="11"/>
        <color theme="1"/>
        <rFont val="Calibri"/>
        <family val="2"/>
      </rPr>
      <t>E</t>
    </r>
  </si>
  <si>
    <r>
      <t>C</t>
    </r>
    <r>
      <rPr>
        <vertAlign val="subscript"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</rPr>
      <t>α</t>
    </r>
  </si>
  <si>
    <r>
      <rPr>
        <sz val="11"/>
        <color theme="1"/>
        <rFont val="Calibri"/>
        <family val="2"/>
      </rPr>
      <t>Ö</t>
    </r>
    <r>
      <rPr>
        <vertAlign val="subscript"/>
        <sz val="11"/>
        <color theme="1"/>
        <rFont val="Calibri"/>
        <family val="2"/>
      </rPr>
      <t>initial</t>
    </r>
  </si>
  <si>
    <r>
      <t>deg/s</t>
    </r>
    <r>
      <rPr>
        <vertAlign val="superscript"/>
        <sz val="11"/>
        <color theme="1"/>
        <rFont val="Calibri"/>
        <family val="2"/>
        <scheme val="minor"/>
      </rPr>
      <t>2</t>
    </r>
  </si>
  <si>
    <r>
      <t>kgm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</si>
  <si>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AR</t>
    </r>
    <r>
      <rPr>
        <vertAlign val="subscript"/>
        <sz val="11"/>
        <color theme="1"/>
        <rFont val="Calibri"/>
        <family val="2"/>
      </rPr>
      <t>h</t>
    </r>
  </si>
  <si>
    <r>
      <t>q</t>
    </r>
    <r>
      <rPr>
        <vertAlign val="subscript"/>
        <sz val="11"/>
        <color theme="1"/>
        <rFont val="Calibri"/>
        <family val="2"/>
        <scheme val="minor"/>
      </rPr>
      <t>SL</t>
    </r>
  </si>
  <si>
    <r>
      <t>q</t>
    </r>
    <r>
      <rPr>
        <vertAlign val="subscript"/>
        <sz val="11"/>
        <color theme="1"/>
        <rFont val="Calibri"/>
        <family val="2"/>
        <scheme val="minor"/>
      </rPr>
      <t>cruise</t>
    </r>
  </si>
  <si>
    <r>
      <t>C</t>
    </r>
    <r>
      <rPr>
        <vertAlign val="subscript"/>
        <sz val="11"/>
        <color theme="1"/>
        <rFont val="Calibri"/>
        <family val="2"/>
        <scheme val="minor"/>
      </rPr>
      <t>L1(S-L)</t>
    </r>
  </si>
  <si>
    <r>
      <t>C</t>
    </r>
    <r>
      <rPr>
        <vertAlign val="subscript"/>
        <sz val="11"/>
        <color theme="1"/>
        <rFont val="Calibri"/>
        <family val="2"/>
        <scheme val="minor"/>
      </rPr>
      <t>L1(CRUISE)</t>
    </r>
  </si>
  <si>
    <t>SEA LEVEL</t>
  </si>
  <si>
    <t>CRUISE</t>
  </si>
  <si>
    <r>
      <t>C</t>
    </r>
    <r>
      <rPr>
        <vertAlign val="subscript"/>
        <sz val="11"/>
        <color theme="1"/>
        <rFont val="Calibri"/>
        <family val="2"/>
      </rPr>
      <t>mδEforward</t>
    </r>
  </si>
  <si>
    <r>
      <t>VH</t>
    </r>
    <r>
      <rPr>
        <vertAlign val="subscript"/>
        <sz val="11"/>
        <color theme="1"/>
        <rFont val="Calibri"/>
        <family val="2"/>
        <scheme val="minor"/>
      </rPr>
      <t>aft</t>
    </r>
  </si>
  <si>
    <r>
      <t>C</t>
    </r>
    <r>
      <rPr>
        <vertAlign val="subscript"/>
        <sz val="11"/>
        <color theme="1"/>
        <rFont val="Calibri"/>
        <family val="2"/>
        <scheme val="minor"/>
      </rPr>
      <t>m</t>
    </r>
    <r>
      <rPr>
        <vertAlign val="subscript"/>
        <sz val="11"/>
        <color theme="1"/>
        <rFont val="Calibri"/>
        <family val="2"/>
      </rPr>
      <t>αforward</t>
    </r>
  </si>
  <si>
    <r>
      <t>δ</t>
    </r>
    <r>
      <rPr>
        <vertAlign val="subscript"/>
        <sz val="11"/>
        <color theme="1"/>
        <rFont val="Calibri"/>
        <family val="2"/>
      </rPr>
      <t xml:space="preserve">E </t>
    </r>
    <r>
      <rPr>
        <sz val="11"/>
        <color theme="1"/>
        <rFont val="Calibri"/>
        <family val="2"/>
      </rPr>
      <t>forward</t>
    </r>
  </si>
  <si>
    <r>
      <t>δ</t>
    </r>
    <r>
      <rPr>
        <vertAlign val="subscript"/>
        <sz val="11"/>
        <color theme="1"/>
        <rFont val="Calibri"/>
        <family val="2"/>
      </rPr>
      <t>E</t>
    </r>
    <r>
      <rPr>
        <sz val="11"/>
        <color theme="1"/>
        <rFont val="Calibri"/>
        <family val="2"/>
      </rPr>
      <t xml:space="preserve"> </t>
    </r>
    <r>
      <rPr>
        <vertAlign val="subscript"/>
        <sz val="11"/>
        <color theme="1"/>
        <rFont val="Calibri"/>
        <family val="2"/>
      </rPr>
      <t>AFT</t>
    </r>
    <r>
      <rPr>
        <sz val="11"/>
        <color theme="1"/>
        <rFont val="Calibri"/>
        <family val="2"/>
      </rPr>
      <t>(deg)</t>
    </r>
  </si>
  <si>
    <r>
      <t>δ</t>
    </r>
    <r>
      <rPr>
        <vertAlign val="subscript"/>
        <sz val="11"/>
        <color theme="1"/>
        <rFont val="Calibri"/>
        <family val="2"/>
      </rPr>
      <t>E forward</t>
    </r>
  </si>
  <si>
    <r>
      <t>lh</t>
    </r>
    <r>
      <rPr>
        <vertAlign val="subscript"/>
        <sz val="11"/>
        <color theme="1"/>
        <rFont val="Calibri"/>
        <family val="2"/>
        <scheme val="minor"/>
      </rPr>
      <t>forward</t>
    </r>
  </si>
  <si>
    <r>
      <t>vh</t>
    </r>
    <r>
      <rPr>
        <vertAlign val="subscript"/>
        <sz val="11"/>
        <color theme="1"/>
        <rFont val="Calibri"/>
        <family val="2"/>
        <scheme val="minor"/>
      </rPr>
      <t>forward</t>
    </r>
  </si>
  <si>
    <r>
      <t>δ</t>
    </r>
    <r>
      <rPr>
        <vertAlign val="subscript"/>
        <sz val="10"/>
        <color theme="1"/>
        <rFont val="Calibri"/>
        <family val="2"/>
      </rPr>
      <t xml:space="preserve">E forward </t>
    </r>
    <r>
      <rPr>
        <sz val="10"/>
        <color theme="1"/>
        <rFont val="Calibri"/>
        <family val="2"/>
      </rPr>
      <t>deg</t>
    </r>
  </si>
  <si>
    <r>
      <t>h-ho</t>
    </r>
    <r>
      <rPr>
        <vertAlign val="subscript"/>
        <sz val="10"/>
        <color theme="1"/>
        <rFont val="Calibri"/>
        <family val="2"/>
      </rPr>
      <t>(forward)</t>
    </r>
  </si>
  <si>
    <r>
      <t>δ</t>
    </r>
    <r>
      <rPr>
        <vertAlign val="subscript"/>
        <sz val="11"/>
        <color theme="1"/>
        <rFont val="Calibri"/>
        <family val="2"/>
      </rPr>
      <t>E AFT</t>
    </r>
  </si>
  <si>
    <r>
      <t>δ</t>
    </r>
    <r>
      <rPr>
        <vertAlign val="subscript"/>
        <sz val="11"/>
        <color theme="1"/>
        <rFont val="Calibri"/>
        <family val="2"/>
      </rPr>
      <t>E forward</t>
    </r>
    <r>
      <rPr>
        <sz val="11"/>
        <color theme="1"/>
        <rFont val="Calibri"/>
        <family val="2"/>
      </rPr>
      <t xml:space="preserve"> deg</t>
    </r>
  </si>
  <si>
    <r>
      <t>δ</t>
    </r>
    <r>
      <rPr>
        <vertAlign val="subscript"/>
        <sz val="10"/>
        <color theme="1"/>
        <rFont val="Calibri"/>
        <family val="2"/>
      </rPr>
      <t>E AFT</t>
    </r>
    <r>
      <rPr>
        <sz val="10"/>
        <color theme="1"/>
        <rFont val="Calibri"/>
        <family val="2"/>
      </rPr>
      <t xml:space="preserve"> deg</t>
    </r>
  </si>
  <si>
    <r>
      <t>V</t>
    </r>
    <r>
      <rPr>
        <vertAlign val="subscript"/>
        <sz val="11"/>
        <color theme="1"/>
        <rFont val="Calibri"/>
        <family val="2"/>
        <scheme val="minor"/>
      </rPr>
      <t>w</t>
    </r>
  </si>
  <si>
    <t>Vv</t>
  </si>
  <si>
    <r>
      <t>U</t>
    </r>
    <r>
      <rPr>
        <vertAlign val="subscript"/>
        <sz val="11"/>
        <color theme="1"/>
        <rFont val="Calibri"/>
        <family val="2"/>
        <scheme val="minor"/>
      </rPr>
      <t>1</t>
    </r>
  </si>
  <si>
    <r>
      <t>V</t>
    </r>
    <r>
      <rPr>
        <vertAlign val="subscript"/>
        <sz val="11"/>
        <color theme="1"/>
        <rFont val="Calibri"/>
        <family val="2"/>
        <scheme val="minor"/>
      </rPr>
      <t>T</t>
    </r>
  </si>
  <si>
    <r>
      <t>l</t>
    </r>
    <r>
      <rPr>
        <vertAlign val="subscript"/>
        <sz val="11"/>
        <color theme="1"/>
        <rFont val="Calibri"/>
        <family val="2"/>
        <scheme val="minor"/>
      </rPr>
      <t>v</t>
    </r>
  </si>
  <si>
    <r>
      <t>C</t>
    </r>
    <r>
      <rPr>
        <vertAlign val="subscript"/>
        <sz val="11"/>
        <color theme="1"/>
        <rFont val="Calibri"/>
        <family val="2"/>
        <scheme val="minor"/>
      </rPr>
      <t>Dy</t>
    </r>
  </si>
  <si>
    <r>
      <t>F</t>
    </r>
    <r>
      <rPr>
        <vertAlign val="subscript"/>
        <sz val="11"/>
        <color theme="1"/>
        <rFont val="Calibri"/>
        <family val="2"/>
        <scheme val="minor"/>
      </rPr>
      <t>w</t>
    </r>
  </si>
  <si>
    <r>
      <t>I</t>
    </r>
    <r>
      <rPr>
        <vertAlign val="subscript"/>
        <sz val="11"/>
        <color theme="1"/>
        <rFont val="Calibri"/>
        <family val="2"/>
      </rPr>
      <t>xx</t>
    </r>
  </si>
  <si>
    <r>
      <rPr>
        <sz val="11"/>
        <color theme="1"/>
        <rFont val="Calibri"/>
        <family val="2"/>
      </rPr>
      <t>δ</t>
    </r>
    <r>
      <rPr>
        <vertAlign val="subscript"/>
        <sz val="11"/>
        <color theme="1"/>
        <rFont val="Calibri"/>
        <family val="2"/>
      </rPr>
      <t>R</t>
    </r>
    <r>
      <rPr>
        <sz val="11"/>
        <color theme="1"/>
        <rFont val="Calibri"/>
        <family val="2"/>
        <scheme val="minor"/>
      </rPr>
      <t>(rads)</t>
    </r>
  </si>
  <si>
    <t>σ (rads)</t>
  </si>
  <si>
    <r>
      <t>δ</t>
    </r>
    <r>
      <rPr>
        <vertAlign val="subscript"/>
        <sz val="11"/>
        <color theme="1"/>
        <rFont val="Calibri"/>
        <family val="2"/>
      </rPr>
      <t xml:space="preserve">R </t>
    </r>
    <r>
      <rPr>
        <sz val="11"/>
        <color theme="1"/>
        <rFont val="Calibri"/>
        <family val="2"/>
      </rPr>
      <t>(rads)</t>
    </r>
  </si>
  <si>
    <t>Assymetric thrust requirement</t>
  </si>
  <si>
    <t>FAR PART 23</t>
  </si>
  <si>
    <t>knots    =</t>
  </si>
  <si>
    <r>
      <rPr>
        <i/>
        <sz val="11"/>
        <color theme="1"/>
        <rFont val="Calibri"/>
        <family val="2"/>
      </rPr>
      <t>α</t>
    </r>
    <r>
      <rPr>
        <i/>
        <vertAlign val="subscript"/>
        <sz val="11"/>
        <color theme="1"/>
        <rFont val="Calibri"/>
        <family val="2"/>
      </rPr>
      <t xml:space="preserve">hTO </t>
    </r>
    <r>
      <rPr>
        <i/>
        <sz val="11"/>
        <color theme="1"/>
        <rFont val="Calibri"/>
        <family val="2"/>
      </rPr>
      <t>must always be less than α</t>
    </r>
    <r>
      <rPr>
        <i/>
        <vertAlign val="subscript"/>
        <sz val="11"/>
        <color theme="1"/>
        <rFont val="Calibri"/>
        <family val="2"/>
      </rPr>
      <t>hs</t>
    </r>
    <r>
      <rPr>
        <i/>
        <sz val="11"/>
        <color theme="1"/>
        <rFont val="Calibri"/>
        <family val="2"/>
      </rPr>
      <t xml:space="preserve"> </t>
    </r>
    <r>
      <rPr>
        <i/>
        <vertAlign val="subscript"/>
        <sz val="11"/>
        <color theme="1"/>
        <rFont val="Calibri"/>
        <family val="2"/>
      </rPr>
      <t xml:space="preserve">  </t>
    </r>
  </si>
  <si>
    <r>
      <t>M</t>
    </r>
    <r>
      <rPr>
        <vertAlign val="subscript"/>
        <sz val="11"/>
        <color theme="1"/>
        <rFont val="Calibri"/>
        <family val="2"/>
        <scheme val="minor"/>
      </rPr>
      <t>acwf</t>
    </r>
  </si>
  <si>
    <r>
      <t>M</t>
    </r>
    <r>
      <rPr>
        <vertAlign val="subscript"/>
        <sz val="11"/>
        <color theme="1"/>
        <rFont val="Calibri"/>
        <family val="2"/>
        <scheme val="minor"/>
      </rPr>
      <t>W</t>
    </r>
  </si>
  <si>
    <r>
      <t>M</t>
    </r>
    <r>
      <rPr>
        <vertAlign val="subscript"/>
        <sz val="11"/>
        <color theme="1"/>
        <rFont val="Calibri"/>
        <family val="2"/>
        <scheme val="minor"/>
      </rPr>
      <t>D</t>
    </r>
  </si>
  <si>
    <r>
      <t>M</t>
    </r>
    <r>
      <rPr>
        <vertAlign val="subscript"/>
        <sz val="11"/>
        <color theme="1"/>
        <rFont val="Calibri"/>
        <family val="2"/>
        <scheme val="minor"/>
      </rPr>
      <t>T</t>
    </r>
  </si>
  <si>
    <r>
      <t>M</t>
    </r>
    <r>
      <rPr>
        <vertAlign val="subscript"/>
        <sz val="11"/>
        <color theme="1"/>
        <rFont val="Calibri"/>
        <family val="2"/>
        <scheme val="minor"/>
      </rPr>
      <t>Lwf</t>
    </r>
  </si>
  <si>
    <r>
      <t>M</t>
    </r>
    <r>
      <rPr>
        <vertAlign val="subscript"/>
        <sz val="11"/>
        <color theme="1"/>
        <rFont val="Calibri"/>
        <family val="2"/>
        <scheme val="minor"/>
      </rPr>
      <t>a</t>
    </r>
  </si>
  <si>
    <r>
      <t>L</t>
    </r>
    <r>
      <rPr>
        <vertAlign val="subscript"/>
        <sz val="11"/>
        <color theme="1"/>
        <rFont val="Calibri"/>
        <family val="2"/>
        <scheme val="minor"/>
      </rPr>
      <t>h</t>
    </r>
  </si>
  <si>
    <r>
      <t>C</t>
    </r>
    <r>
      <rPr>
        <vertAlign val="subscript"/>
        <sz val="11"/>
        <color theme="1"/>
        <rFont val="Calibri"/>
        <family val="2"/>
        <scheme val="minor"/>
      </rPr>
      <t>Lh</t>
    </r>
  </si>
  <si>
    <r>
      <t>h</t>
    </r>
    <r>
      <rPr>
        <vertAlign val="subscript"/>
        <sz val="11"/>
        <color theme="1"/>
        <rFont val="Calibri"/>
        <family val="2"/>
        <scheme val="minor"/>
      </rPr>
      <t>o</t>
    </r>
  </si>
  <si>
    <r>
      <t>L</t>
    </r>
    <r>
      <rPr>
        <vertAlign val="subscript"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 xml:space="preserve"> =L</t>
    </r>
    <r>
      <rPr>
        <vertAlign val="subscript"/>
        <sz val="11"/>
        <color theme="1"/>
        <rFont val="Calibri"/>
        <family val="2"/>
        <scheme val="minor"/>
      </rPr>
      <t>wf</t>
    </r>
    <r>
      <rPr>
        <sz val="11"/>
        <color theme="1"/>
        <rFont val="Calibri"/>
        <family val="2"/>
      </rPr>
      <t xml:space="preserve">  </t>
    </r>
  </si>
  <si>
    <r>
      <t>D</t>
    </r>
    <r>
      <rPr>
        <vertAlign val="subscript"/>
        <sz val="11"/>
        <color theme="1"/>
        <rFont val="Calibri"/>
        <family val="2"/>
        <scheme val="minor"/>
      </rPr>
      <t>TO</t>
    </r>
  </si>
  <si>
    <r>
      <rPr>
        <i/>
        <sz val="11"/>
        <color theme="1"/>
        <rFont val="Calibri"/>
        <family val="2"/>
        <scheme val="minor"/>
      </rPr>
      <t xml:space="preserve">change the values in the </t>
    </r>
    <r>
      <rPr>
        <i/>
        <sz val="11"/>
        <color theme="1"/>
        <rFont val="Calibri"/>
        <family val="2"/>
      </rPr>
      <t>σ</t>
    </r>
    <r>
      <rPr>
        <i/>
        <sz val="11"/>
        <color theme="1"/>
        <rFont val="Calibri"/>
        <family val="2"/>
        <scheme val="minor"/>
      </rPr>
      <t xml:space="preserve"> column till the corresponding value in total column on the left is as close</t>
    </r>
  </si>
  <si>
    <r>
      <rPr>
        <i/>
        <sz val="11"/>
        <color theme="1"/>
        <rFont val="Calibri"/>
        <family val="2"/>
        <scheme val="minor"/>
      </rPr>
      <t xml:space="preserve">to zero as possible.  Pick the value of </t>
    </r>
    <r>
      <rPr>
        <i/>
        <sz val="11"/>
        <color theme="1"/>
        <rFont val="Calibri"/>
        <family val="2"/>
      </rPr>
      <t>σ(deg ) and the δ</t>
    </r>
    <r>
      <rPr>
        <i/>
        <vertAlign val="subscript"/>
        <sz val="11"/>
        <color theme="1"/>
        <rFont val="Calibri"/>
        <family val="2"/>
      </rPr>
      <t>R</t>
    </r>
    <r>
      <rPr>
        <i/>
        <sz val="11"/>
        <color theme="1"/>
        <rFont val="Calibri"/>
        <family val="2"/>
      </rPr>
      <t>(deg) on the same row</t>
    </r>
  </si>
  <si>
    <r>
      <rPr>
        <i/>
        <sz val="11"/>
        <color theme="1"/>
        <rFont val="Calibri"/>
        <family val="2"/>
      </rPr>
      <t>δ</t>
    </r>
    <r>
      <rPr>
        <i/>
        <vertAlign val="subscript"/>
        <sz val="11"/>
        <color theme="1"/>
        <rFont val="Calibri"/>
        <family val="2"/>
      </rPr>
      <t xml:space="preserve">R </t>
    </r>
    <r>
      <rPr>
        <i/>
        <sz val="11"/>
        <color theme="1"/>
        <rFont val="Calibri"/>
        <family val="2"/>
      </rPr>
      <t>must aleays be less than δ</t>
    </r>
    <r>
      <rPr>
        <i/>
        <vertAlign val="subscript"/>
        <sz val="11"/>
        <color theme="1"/>
        <rFont val="Calibri"/>
        <family val="2"/>
      </rPr>
      <t xml:space="preserve">R </t>
    </r>
    <r>
      <rPr>
        <i/>
        <sz val="11"/>
        <color theme="1"/>
        <rFont val="Calibri"/>
        <family val="2"/>
      </rPr>
      <t>req</t>
    </r>
  </si>
  <si>
    <t>inorder to satisfy the requirements i.e</t>
  </si>
  <si>
    <t>INPUT VALUES IN ORANGE!!!</t>
  </si>
  <si>
    <r>
      <rPr>
        <sz val="11"/>
        <color theme="1"/>
        <rFont val="Calibri"/>
        <family val="2"/>
      </rPr>
      <t>λ</t>
    </r>
    <r>
      <rPr>
        <vertAlign val="subscript"/>
        <sz val="11"/>
        <color theme="1"/>
        <rFont val="Calibri"/>
        <family val="2"/>
      </rPr>
      <t>HT</t>
    </r>
  </si>
  <si>
    <r>
      <t>Ʌ</t>
    </r>
    <r>
      <rPr>
        <vertAlign val="subscript"/>
        <sz val="11"/>
        <color theme="1"/>
        <rFont val="Calibri"/>
        <family val="2"/>
      </rPr>
      <t>HT</t>
    </r>
  </si>
  <si>
    <r>
      <t xml:space="preserve">t/c </t>
    </r>
    <r>
      <rPr>
        <vertAlign val="subscript"/>
        <sz val="11"/>
        <color theme="1"/>
        <rFont val="Calibri"/>
        <family val="2"/>
      </rPr>
      <t>HT</t>
    </r>
  </si>
  <si>
    <r>
      <t>b</t>
    </r>
    <r>
      <rPr>
        <vertAlign val="subscript"/>
        <sz val="11"/>
        <color theme="1"/>
        <rFont val="Calibri"/>
        <family val="2"/>
      </rPr>
      <t>HT</t>
    </r>
  </si>
  <si>
    <r>
      <t>Ʌ</t>
    </r>
    <r>
      <rPr>
        <vertAlign val="subscript"/>
        <sz val="11"/>
        <color theme="1"/>
        <rFont val="Calibri"/>
        <family val="2"/>
      </rPr>
      <t>C/4</t>
    </r>
  </si>
  <si>
    <r>
      <t>AR</t>
    </r>
    <r>
      <rPr>
        <vertAlign val="subscript"/>
        <sz val="11"/>
        <color theme="1"/>
        <rFont val="Calibri"/>
        <family val="2"/>
        <scheme val="minor"/>
      </rPr>
      <t>VT</t>
    </r>
  </si>
  <si>
    <r>
      <t xml:space="preserve">t/c </t>
    </r>
    <r>
      <rPr>
        <vertAlign val="subscript"/>
        <sz val="11"/>
        <color theme="1"/>
        <rFont val="Calibri"/>
        <family val="2"/>
        <scheme val="minor"/>
      </rPr>
      <t>VT</t>
    </r>
  </si>
  <si>
    <r>
      <t>C</t>
    </r>
    <r>
      <rPr>
        <vertAlign val="subscript"/>
        <sz val="11"/>
        <color theme="1"/>
        <rFont val="Calibri"/>
        <family val="2"/>
        <scheme val="minor"/>
      </rPr>
      <t>w</t>
    </r>
  </si>
  <si>
    <r>
      <t>Croot</t>
    </r>
    <r>
      <rPr>
        <vertAlign val="subscript"/>
        <sz val="11"/>
        <color theme="1"/>
        <rFont val="Calibri"/>
        <family val="2"/>
      </rPr>
      <t>HT</t>
    </r>
  </si>
  <si>
    <r>
      <t>C</t>
    </r>
    <r>
      <rPr>
        <vertAlign val="subscript"/>
        <sz val="11"/>
        <color theme="1"/>
        <rFont val="Calibri"/>
        <family val="2"/>
        <scheme val="minor"/>
      </rPr>
      <t>root_WING</t>
    </r>
  </si>
  <si>
    <r>
      <t>b</t>
    </r>
    <r>
      <rPr>
        <vertAlign val="subscript"/>
        <sz val="11"/>
        <color theme="1"/>
        <rFont val="Calibri"/>
        <family val="2"/>
        <scheme val="minor"/>
      </rPr>
      <t>WING</t>
    </r>
  </si>
  <si>
    <r>
      <t>λ</t>
    </r>
    <r>
      <rPr>
        <vertAlign val="subscript"/>
        <sz val="11"/>
        <color theme="1"/>
        <rFont val="Calibri"/>
        <family val="2"/>
      </rPr>
      <t>WING</t>
    </r>
  </si>
  <si>
    <r>
      <t>C</t>
    </r>
    <r>
      <rPr>
        <vertAlign val="subscript"/>
        <sz val="11"/>
        <color theme="1"/>
        <rFont val="Calibri"/>
        <family val="2"/>
      </rPr>
      <t>HT</t>
    </r>
  </si>
  <si>
    <r>
      <t>C</t>
    </r>
    <r>
      <rPr>
        <vertAlign val="subscript"/>
        <sz val="11"/>
        <color theme="1"/>
        <rFont val="Calibri"/>
        <family val="2"/>
        <scheme val="minor"/>
      </rPr>
      <t>VT</t>
    </r>
  </si>
  <si>
    <r>
      <t>Croot</t>
    </r>
    <r>
      <rPr>
        <vertAlign val="subscript"/>
        <sz val="11"/>
        <color theme="1"/>
        <rFont val="Calibri"/>
        <family val="2"/>
        <scheme val="minor"/>
      </rPr>
      <t>VT</t>
    </r>
  </si>
  <si>
    <r>
      <rPr>
        <sz val="11"/>
        <color theme="1"/>
        <rFont val="Calibri"/>
        <family val="2"/>
      </rPr>
      <t>λ</t>
    </r>
    <r>
      <rPr>
        <vertAlign val="subscript"/>
        <sz val="11"/>
        <color theme="1"/>
        <rFont val="Calibri"/>
        <family val="2"/>
      </rPr>
      <t>VT</t>
    </r>
  </si>
  <si>
    <t>DIMENSIONS</t>
  </si>
  <si>
    <t>1/deg</t>
  </si>
  <si>
    <r>
      <t>C</t>
    </r>
    <r>
      <rPr>
        <vertAlign val="subscript"/>
        <sz val="11"/>
        <color theme="1"/>
        <rFont val="Calibri"/>
        <family val="2"/>
        <scheme val="minor"/>
      </rPr>
      <t>l</t>
    </r>
    <r>
      <rPr>
        <vertAlign val="subscript"/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  <scheme val="minor"/>
      </rPr>
      <t>VT</t>
    </r>
  </si>
  <si>
    <t>VERTICAL TAIL PARAMETERS</t>
  </si>
  <si>
    <r>
      <t>δ</t>
    </r>
    <r>
      <rPr>
        <vertAlign val="subscript"/>
        <sz val="11"/>
        <rFont val="Calibri"/>
        <family val="2"/>
      </rPr>
      <t>Emax</t>
    </r>
  </si>
  <si>
    <r>
      <t>I</t>
    </r>
    <r>
      <rPr>
        <vertAlign val="subscript"/>
        <sz val="11"/>
        <rFont val="Calibri"/>
        <family val="2"/>
        <scheme val="minor"/>
      </rPr>
      <t>yy</t>
    </r>
  </si>
  <si>
    <r>
      <t>D</t>
    </r>
    <r>
      <rPr>
        <vertAlign val="subscript"/>
        <sz val="11"/>
        <rFont val="Calibri"/>
        <family val="2"/>
        <scheme val="minor"/>
      </rPr>
      <t>f</t>
    </r>
  </si>
  <si>
    <r>
      <t>L</t>
    </r>
    <r>
      <rPr>
        <vertAlign val="subscript"/>
        <sz val="11"/>
        <rFont val="Calibri"/>
        <family val="2"/>
        <scheme val="minor"/>
      </rPr>
      <t>f</t>
    </r>
  </si>
  <si>
    <r>
      <t>x</t>
    </r>
    <r>
      <rPr>
        <vertAlign val="subscript"/>
        <sz val="11"/>
        <rFont val="Calibri"/>
        <family val="2"/>
        <scheme val="minor"/>
      </rPr>
      <t>mg</t>
    </r>
  </si>
  <si>
    <r>
      <t>x</t>
    </r>
    <r>
      <rPr>
        <vertAlign val="subscript"/>
        <sz val="11"/>
        <rFont val="Calibri"/>
        <family val="2"/>
        <scheme val="minor"/>
      </rPr>
      <t>cg</t>
    </r>
  </si>
  <si>
    <r>
      <t>z</t>
    </r>
    <r>
      <rPr>
        <vertAlign val="subscript"/>
        <sz val="11"/>
        <rFont val="Calibri"/>
        <family val="2"/>
        <scheme val="minor"/>
      </rPr>
      <t>D</t>
    </r>
  </si>
  <si>
    <r>
      <t>z</t>
    </r>
    <r>
      <rPr>
        <vertAlign val="subscript"/>
        <sz val="11"/>
        <rFont val="Calibri"/>
        <family val="2"/>
        <scheme val="minor"/>
      </rPr>
      <t>mg</t>
    </r>
  </si>
  <si>
    <r>
      <t>x</t>
    </r>
    <r>
      <rPr>
        <vertAlign val="subscript"/>
        <sz val="11"/>
        <rFont val="Calibri"/>
        <family val="2"/>
        <scheme val="minor"/>
      </rPr>
      <t>acwf</t>
    </r>
  </si>
  <si>
    <r>
      <t>z</t>
    </r>
    <r>
      <rPr>
        <vertAlign val="subscript"/>
        <sz val="11"/>
        <rFont val="Calibri"/>
        <family val="2"/>
        <scheme val="minor"/>
      </rPr>
      <t>cg</t>
    </r>
  </si>
  <si>
    <r>
      <t>z</t>
    </r>
    <r>
      <rPr>
        <vertAlign val="subscript"/>
        <sz val="11"/>
        <rFont val="Calibri"/>
        <family val="2"/>
        <scheme val="minor"/>
      </rPr>
      <t>T</t>
    </r>
  </si>
  <si>
    <r>
      <t>xa</t>
    </r>
    <r>
      <rPr>
        <vertAlign val="subscript"/>
        <sz val="11"/>
        <rFont val="Calibri"/>
        <family val="2"/>
        <scheme val="minor"/>
      </rPr>
      <t>ch</t>
    </r>
  </si>
  <si>
    <r>
      <t>Cl</t>
    </r>
    <r>
      <rPr>
        <vertAlign val="subscript"/>
        <sz val="11"/>
        <rFont val="Calibri"/>
        <family val="2"/>
        <scheme val="minor"/>
      </rPr>
      <t>αh</t>
    </r>
  </si>
  <si>
    <r>
      <t>C</t>
    </r>
    <r>
      <rPr>
        <vertAlign val="subscript"/>
        <sz val="11"/>
        <rFont val="Calibri"/>
        <family val="2"/>
        <scheme val="minor"/>
      </rPr>
      <t>L</t>
    </r>
    <r>
      <rPr>
        <vertAlign val="subscript"/>
        <sz val="11"/>
        <rFont val="Calibri"/>
        <family val="2"/>
      </rPr>
      <t>αh</t>
    </r>
  </si>
  <si>
    <r>
      <t>i</t>
    </r>
    <r>
      <rPr>
        <vertAlign val="subscript"/>
        <sz val="11"/>
        <rFont val="Calibri"/>
        <family val="2"/>
        <scheme val="minor"/>
      </rPr>
      <t>h</t>
    </r>
  </si>
  <si>
    <r>
      <t>λ</t>
    </r>
    <r>
      <rPr>
        <vertAlign val="subscript"/>
        <sz val="11"/>
        <rFont val="Calibri"/>
        <family val="2"/>
      </rPr>
      <t>h</t>
    </r>
  </si>
  <si>
    <r>
      <t>η</t>
    </r>
    <r>
      <rPr>
        <vertAlign val="subscript"/>
        <sz val="11"/>
        <rFont val="Calibri"/>
        <family val="2"/>
      </rPr>
      <t>h</t>
    </r>
  </si>
  <si>
    <r>
      <t>α</t>
    </r>
    <r>
      <rPr>
        <vertAlign val="subscript"/>
        <sz val="11"/>
        <rFont val="Calibri"/>
        <family val="2"/>
      </rPr>
      <t>twist</t>
    </r>
  </si>
  <si>
    <r>
      <t>l</t>
    </r>
    <r>
      <rPr>
        <vertAlign val="subscript"/>
        <sz val="11"/>
        <rFont val="Calibri"/>
        <family val="2"/>
      </rPr>
      <t>h</t>
    </r>
  </si>
  <si>
    <r>
      <t>CL</t>
    </r>
    <r>
      <rPr>
        <vertAlign val="subscript"/>
        <sz val="11"/>
        <rFont val="Calibri"/>
        <family val="2"/>
        <scheme val="minor"/>
      </rPr>
      <t>O</t>
    </r>
  </si>
  <si>
    <t>clflapto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</si>
</sst>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vertAlign val="subscript"/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i/>
      <vertAlign val="subscript"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9" fillId="0" borderId="1" applyNumberFormat="0" applyFill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6" borderId="0" xfId="0" applyFill="1"/>
    <xf numFmtId="0" fontId="5" fillId="0" borderId="0" xfId="0" applyFont="1"/>
    <xf numFmtId="0" fontId="0" fillId="7" borderId="0" xfId="0" applyFill="1"/>
    <xf numFmtId="0" fontId="11" fillId="0" borderId="0" xfId="0" applyFont="1"/>
    <xf numFmtId="0" fontId="0" fillId="8" borderId="0" xfId="0" applyFill="1"/>
    <xf numFmtId="0" fontId="1" fillId="7" borderId="0" xfId="0" applyFont="1" applyFill="1"/>
    <xf numFmtId="0" fontId="13" fillId="8" borderId="0" xfId="0" applyFont="1" applyFill="1"/>
    <xf numFmtId="0" fontId="14" fillId="8" borderId="0" xfId="0" applyFont="1" applyFill="1" applyAlignment="1">
      <alignment horizontal="left"/>
    </xf>
    <xf numFmtId="0" fontId="14" fillId="8" borderId="0" xfId="0" applyFont="1" applyFill="1"/>
    <xf numFmtId="0" fontId="0" fillId="9" borderId="0" xfId="0" applyFill="1"/>
    <xf numFmtId="0" fontId="0" fillId="10" borderId="0" xfId="0" applyFill="1"/>
    <xf numFmtId="0" fontId="16" fillId="8" borderId="0" xfId="0" applyFont="1" applyFill="1"/>
    <xf numFmtId="0" fontId="16" fillId="10" borderId="0" xfId="0" applyFont="1" applyFill="1"/>
    <xf numFmtId="0" fontId="0" fillId="11" borderId="0" xfId="0" applyFill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1" xfId="1" applyAlignment="1">
      <alignment horizontal="center"/>
    </xf>
    <xf numFmtId="0" fontId="18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17" fillId="7" borderId="0" xfId="0" applyFont="1" applyFill="1" applyAlignment="1">
      <alignment horizontal="center"/>
    </xf>
  </cellXfs>
  <cellStyles count="2">
    <cellStyle name="Heading 1" xfId="1" builtinId="16"/>
    <cellStyle name="Normal" xfId="0" builtinId="0"/>
  </cellStyles>
  <dxfs count="20"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sz val="11"/>
        <color auto="1"/>
        <name val="Calibri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</a:t>
            </a:r>
            <a:r>
              <a:rPr lang="en-US" baseline="0"/>
              <a:t> of Bank Angle with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3537739600732"/>
          <c:y val="0.11656427561939374"/>
          <c:w val="0.83659503168164584"/>
          <c:h val="0.7065916760404948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Aileron!$B$33:$B$41</c:f>
              <c:numCache>
                <c:formatCode>General</c:formatCode>
                <c:ptCount val="9"/>
                <c:pt idx="0">
                  <c:v>0</c:v>
                </c:pt>
                <c:pt idx="1">
                  <c:v>0.24773745808213105</c:v>
                </c:pt>
                <c:pt idx="2">
                  <c:v>0.35035367312758586</c:v>
                </c:pt>
                <c:pt idx="3">
                  <c:v>0.42909386433621594</c:v>
                </c:pt>
                <c:pt idx="4">
                  <c:v>0.49547491616426209</c:v>
                </c:pt>
                <c:pt idx="5">
                  <c:v>0.55395779684464963</c:v>
                </c:pt>
                <c:pt idx="6">
                  <c:v>0.60683036247535749</c:v>
                </c:pt>
                <c:pt idx="7">
                  <c:v>0.70070734625517173</c:v>
                </c:pt>
                <c:pt idx="8">
                  <c:v>0.85818772867243187</c:v>
                </c:pt>
              </c:numCache>
            </c:numRef>
          </c:xVal>
          <c:yVal>
            <c:numRef>
              <c:f>Aileron!$A$33:$A$41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FE-6A47-B5FC-1F99B152DCEB}"/>
            </c:ext>
          </c:extLst>
        </c:ser>
        <c:ser>
          <c:idx val="1"/>
          <c:order val="1"/>
          <c:tx>
            <c:strRef>
              <c:f>Aileron!$D$44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Aileron!$C$45:$C$46</c:f>
              <c:numCache>
                <c:formatCode>General</c:formatCode>
                <c:ptCount val="2"/>
                <c:pt idx="0">
                  <c:v>5.0000000000000001E-3</c:v>
                </c:pt>
                <c:pt idx="1">
                  <c:v>0.85</c:v>
                </c:pt>
              </c:numCache>
            </c:numRef>
          </c:xVal>
          <c:yVal>
            <c:numRef>
              <c:f>Aileron!$D$45:$D$46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FE-6A47-B5FC-1F99B152DCEB}"/>
            </c:ext>
          </c:extLst>
        </c:ser>
        <c:ser>
          <c:idx val="2"/>
          <c:order val="2"/>
          <c:tx>
            <c:strRef>
              <c:f>Aileron!$B$44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Aileron!$A$45:$A$46</c:f>
              <c:numCache>
                <c:formatCode>General</c:formatCode>
                <c:ptCount val="2"/>
                <c:pt idx="0">
                  <c:v>0.60680812221158964</c:v>
                </c:pt>
                <c:pt idx="1">
                  <c:v>0.60680812221158964</c:v>
                </c:pt>
              </c:numCache>
            </c:numRef>
          </c:xVal>
          <c:yVal>
            <c:numRef>
              <c:f>Aileron!$B$45:$B$46</c:f>
              <c:numCache>
                <c:formatCode>General</c:formatCode>
                <c:ptCount val="2"/>
                <c:pt idx="0">
                  <c:v>0.1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FE-6A47-B5FC-1F99B152D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034672"/>
        <c:axId val="548554352"/>
      </c:scatterChart>
      <c:valAx>
        <c:axId val="64803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</a:t>
                </a:r>
                <a:r>
                  <a:rPr lang="en-US" sz="1400" baseline="0"/>
                  <a:t> (sec)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6933223566278509"/>
              <c:y val="0.877185544114677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54352"/>
        <c:crosses val="autoZero"/>
        <c:crossBetween val="midCat"/>
      </c:valAx>
      <c:valAx>
        <c:axId val="5485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/>
                  <a:t>φ</a:t>
                </a:r>
                <a:r>
                  <a:rPr lang="en-US" sz="1400"/>
                  <a:t>(deg)</a:t>
                </a:r>
              </a:p>
            </c:rich>
          </c:tx>
          <c:layout>
            <c:manualLayout>
              <c:xMode val="edge"/>
              <c:yMode val="edge"/>
              <c:x val="1.8219783133168958E-2"/>
              <c:y val="0.41060586176727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034672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cap="all" baseline="0"/>
              <a:t>trim curve</a:t>
            </a:r>
            <a:r>
              <a:rPr lang="en-US"/>
              <a:t>:Variations of elevator deflection with speed, S-L</a:t>
            </a:r>
          </a:p>
        </c:rich>
      </c:tx>
      <c:layout>
        <c:manualLayout>
          <c:xMode val="edge"/>
          <c:yMode val="edge"/>
          <c:x val="0.14611641991353025"/>
          <c:y val="4.6933325449520134E-2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40088797311549"/>
          <c:y val="0.17171296296296296"/>
          <c:w val="0.83904334388108026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v>aft cg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Elevator!$H$38:$H$45</c:f>
              <c:numCache>
                <c:formatCode>General</c:formatCode>
                <c:ptCount val="8"/>
                <c:pt idx="0">
                  <c:v>61</c:v>
                </c:pt>
                <c:pt idx="1">
                  <c:v>65</c:v>
                </c:pt>
                <c:pt idx="2">
                  <c:v>70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170</c:v>
                </c:pt>
              </c:numCache>
            </c:numRef>
          </c:xVal>
          <c:yVal>
            <c:numRef>
              <c:f>Elevator!$M$38:$M$45</c:f>
              <c:numCache>
                <c:formatCode>General</c:formatCode>
                <c:ptCount val="8"/>
                <c:pt idx="0">
                  <c:v>-18.168554337563641</c:v>
                </c:pt>
                <c:pt idx="1">
                  <c:v>-15.840713479373687</c:v>
                </c:pt>
                <c:pt idx="2">
                  <c:v>-13.473212796066976</c:v>
                </c:pt>
                <c:pt idx="3">
                  <c:v>-10.000056411702106</c:v>
                </c:pt>
                <c:pt idx="4">
                  <c:v>-5.9156245036890125</c:v>
                </c:pt>
                <c:pt idx="5">
                  <c:v>-3.6969207511880722</c:v>
                </c:pt>
                <c:pt idx="6">
                  <c:v>-2.3591123660993776</c:v>
                </c:pt>
                <c:pt idx="7">
                  <c:v>-1.1669424237845154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9D-CE4B-98C1-5F3BDEB17DAD}"/>
            </c:ext>
          </c:extLst>
        </c:ser>
        <c:ser>
          <c:idx val="1"/>
          <c:order val="1"/>
          <c:tx>
            <c:v>forward 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Elevator!$H$38:$H$45</c:f>
              <c:numCache>
                <c:formatCode>General</c:formatCode>
                <c:ptCount val="8"/>
                <c:pt idx="0">
                  <c:v>61</c:v>
                </c:pt>
                <c:pt idx="1">
                  <c:v>65</c:v>
                </c:pt>
                <c:pt idx="2">
                  <c:v>70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170</c:v>
                </c:pt>
              </c:numCache>
            </c:numRef>
          </c:xVal>
          <c:yVal>
            <c:numRef>
              <c:f>Elevator!$O$38:$O$45</c:f>
              <c:numCache>
                <c:formatCode>General</c:formatCode>
                <c:ptCount val="8"/>
                <c:pt idx="0">
                  <c:v>-20.352017865551858</c:v>
                </c:pt>
                <c:pt idx="1">
                  <c:v>-17.672087466143378</c:v>
                </c:pt>
                <c:pt idx="2">
                  <c:v>-14.946498631540898</c:v>
                </c:pt>
                <c:pt idx="3">
                  <c:v>-10.948021955778588</c:v>
                </c:pt>
                <c:pt idx="4">
                  <c:v>-6.2458133850821085</c:v>
                </c:pt>
                <c:pt idx="5">
                  <c:v>-3.6915272479136494</c:v>
                </c:pt>
                <c:pt idx="6">
                  <c:v>-2.1513732691014962</c:v>
                </c:pt>
                <c:pt idx="7">
                  <c:v>-0.77888577347650978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9D-CE4B-98C1-5F3BDEB17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76672"/>
        <c:axId val="653276128"/>
      </c:scatterChart>
      <c:valAx>
        <c:axId val="65327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Speed (KTAS)</a:t>
                </a:r>
              </a:p>
            </c:rich>
          </c:tx>
          <c:layout>
            <c:manualLayout>
              <c:xMode val="edge"/>
              <c:yMode val="edge"/>
              <c:x val="0.42923490813648296"/>
              <c:y val="0.90645815106445027"/>
            </c:manualLayout>
          </c:layout>
          <c:overlay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76128"/>
        <c:crosses val="autoZero"/>
        <c:crossBetween val="midCat"/>
      </c:valAx>
      <c:valAx>
        <c:axId val="653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δ</a:t>
                </a:r>
                <a:r>
                  <a:rPr lang="en-US" sz="1200" baseline="-25000"/>
                  <a:t>E </a:t>
                </a:r>
                <a:r>
                  <a:rPr lang="en-US" sz="1200" baseline="0"/>
                  <a:t>(deg)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3.1527777777777787E-2"/>
              <c:y val="0.42056685622630502"/>
            </c:manualLayout>
          </c:layout>
          <c:overlay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76672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03185281451471"/>
          <c:y val="0.48792483142470022"/>
          <c:w val="0.1495582226978909"/>
          <c:h val="0.14400098368487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2857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all" baseline="0">
                <a:effectLst/>
              </a:rPr>
              <a:t>trim curve:</a:t>
            </a:r>
            <a:r>
              <a:rPr lang="en-US" sz="1400" b="0" i="0" baseline="0">
                <a:effectLst/>
              </a:rPr>
              <a:t>Variations of elevator deflection with speed, CRUISE ALTITUDE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12982476247072888"/>
          <c:y val="4.1489857110951663E-2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55590235905196"/>
          <c:y val="0.13547076880675527"/>
          <c:w val="0.85672838192523215"/>
          <c:h val="0.73952923119324476"/>
        </c:manualLayout>
      </c:layout>
      <c:scatterChart>
        <c:scatterStyle val="smoothMarker"/>
        <c:varyColors val="0"/>
        <c:ser>
          <c:idx val="0"/>
          <c:order val="0"/>
          <c:tx>
            <c:v>aft cg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Elevator!$H$38:$H$45</c:f>
              <c:numCache>
                <c:formatCode>General</c:formatCode>
                <c:ptCount val="8"/>
                <c:pt idx="0">
                  <c:v>61</c:v>
                </c:pt>
                <c:pt idx="1">
                  <c:v>65</c:v>
                </c:pt>
                <c:pt idx="2">
                  <c:v>70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170</c:v>
                </c:pt>
              </c:numCache>
            </c:numRef>
          </c:xVal>
          <c:yVal>
            <c:numRef>
              <c:f>Elevator!$X$38:$X$45</c:f>
              <c:numCache>
                <c:formatCode>General</c:formatCode>
                <c:ptCount val="8"/>
                <c:pt idx="0">
                  <c:v>-25.087859920118362</c:v>
                </c:pt>
                <c:pt idx="1">
                  <c:v>-21.934615508411817</c:v>
                </c:pt>
                <c:pt idx="2">
                  <c:v>-18.727648729268225</c:v>
                </c:pt>
                <c:pt idx="3">
                  <c:v>-14.022983923059309</c:v>
                </c:pt>
                <c:pt idx="4">
                  <c:v>-8.4902981109576228</c:v>
                </c:pt>
                <c:pt idx="5">
                  <c:v>-5.4848885340134963</c:v>
                </c:pt>
                <c:pt idx="6">
                  <c:v>-3.6727213493996893</c:v>
                </c:pt>
                <c:pt idx="7">
                  <c:v>-2.0578329453307478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62-E74B-8F9B-887BFA47B9C0}"/>
            </c:ext>
          </c:extLst>
        </c:ser>
        <c:ser>
          <c:idx val="1"/>
          <c:order val="1"/>
          <c:tx>
            <c:v>forward cg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Elevator!$H$38:$H$45</c:f>
              <c:numCache>
                <c:formatCode>General</c:formatCode>
                <c:ptCount val="8"/>
                <c:pt idx="0">
                  <c:v>61</c:v>
                </c:pt>
                <c:pt idx="1">
                  <c:v>65</c:v>
                </c:pt>
                <c:pt idx="2">
                  <c:v>70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170</c:v>
                </c:pt>
              </c:numCache>
            </c:numRef>
          </c:xVal>
          <c:yVal>
            <c:numRef>
              <c:f>Elevator!$Z$38:$Z$45</c:f>
              <c:numCache>
                <c:formatCode>General</c:formatCode>
                <c:ptCount val="8"/>
                <c:pt idx="0">
                  <c:v>-28.317879152093475</c:v>
                </c:pt>
                <c:pt idx="1">
                  <c:v>-24.687701631166185</c:v>
                </c:pt>
                <c:pt idx="2">
                  <c:v>-20.995676151381996</c:v>
                </c:pt>
                <c:pt idx="3">
                  <c:v>-15.579423494406925</c:v>
                </c:pt>
                <c:pt idx="4">
                  <c:v>-9.2099103698042448</c:v>
                </c:pt>
                <c:pt idx="5">
                  <c:v>-5.7499279317484655</c:v>
                </c:pt>
                <c:pt idx="6">
                  <c:v>-3.6636676490617694</c:v>
                </c:pt>
                <c:pt idx="7">
                  <c:v>-1.8045248685360724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62-E74B-8F9B-887BFA47B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77760"/>
        <c:axId val="653280480"/>
      </c:scatterChart>
      <c:valAx>
        <c:axId val="65327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Speed</a:t>
                </a:r>
                <a:r>
                  <a:rPr lang="en-US" sz="1200" baseline="0"/>
                  <a:t> (KTAS)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6618539799642161"/>
              <c:y val="0.89351851851851849"/>
            </c:manualLayout>
          </c:layout>
          <c:overlay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80480"/>
        <c:crosses val="autoZero"/>
        <c:crossBetween val="midCat"/>
      </c:valAx>
      <c:valAx>
        <c:axId val="65328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baseline="0">
                    <a:effectLst/>
                  </a:rPr>
                  <a:t>δ</a:t>
                </a:r>
                <a:r>
                  <a:rPr lang="en-US" sz="1200" b="0" i="0" baseline="-25000">
                    <a:effectLst/>
                  </a:rPr>
                  <a:t>E </a:t>
                </a:r>
                <a:r>
                  <a:rPr lang="en-US" sz="1200" b="0" i="0" baseline="0">
                    <a:effectLst/>
                  </a:rPr>
                  <a:t>(deg)</a:t>
                </a:r>
                <a:endParaRPr lang="en-US" sz="1200">
                  <a:effectLst/>
                </a:endParaRPr>
              </a:p>
            </c:rich>
          </c:tx>
          <c:layout>
            <c:manualLayout>
              <c:xMode val="edge"/>
              <c:yMode val="edge"/>
              <c:x val="2.217854843616246E-2"/>
              <c:y val="0.41568589831925989"/>
            </c:manualLayout>
          </c:layout>
          <c:overlay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77760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16469225130638"/>
          <c:y val="0.44502260134149896"/>
          <c:w val="0.12456466526589835"/>
          <c:h val="0.127299316204387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476250</xdr:colOff>
      <xdr:row>15</xdr:row>
      <xdr:rowOff>33337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4133850" y="2967037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4133850" y="2967037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±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161925</xdr:colOff>
      <xdr:row>20</xdr:row>
      <xdr:rowOff>33337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895725" y="4033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104775</xdr:colOff>
      <xdr:row>22</xdr:row>
      <xdr:rowOff>76200</xdr:rowOff>
    </xdr:from>
    <xdr:to>
      <xdr:col>9</xdr:col>
      <xdr:colOff>0</xdr:colOff>
      <xdr:row>22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 flipV="1">
          <a:off x="5057775" y="4524375"/>
          <a:ext cx="504825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22</xdr:row>
      <xdr:rowOff>152400</xdr:rowOff>
    </xdr:from>
    <xdr:to>
      <xdr:col>9</xdr:col>
      <xdr:colOff>0</xdr:colOff>
      <xdr:row>23</xdr:row>
      <xdr:rowOff>133350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5067300" y="4600575"/>
          <a:ext cx="4953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24</xdr:row>
      <xdr:rowOff>123825</xdr:rowOff>
    </xdr:from>
    <xdr:to>
      <xdr:col>12</xdr:col>
      <xdr:colOff>190500</xdr:colOff>
      <xdr:row>41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295275</xdr:colOff>
      <xdr:row>0</xdr:row>
      <xdr:rowOff>76200</xdr:rowOff>
    </xdr:from>
    <xdr:to>
      <xdr:col>8</xdr:col>
      <xdr:colOff>295275</xdr:colOff>
      <xdr:row>3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514475" y="76200"/>
          <a:ext cx="3733800" cy="533400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/>
            <a:t>CONTROL</a:t>
          </a:r>
          <a:r>
            <a:rPr lang="en-US" sz="1400" baseline="0"/>
            <a:t> SURFACE</a:t>
          </a:r>
          <a:r>
            <a:rPr lang="en-US" sz="1400"/>
            <a:t> DESIGN</a:t>
          </a:r>
          <a:r>
            <a:rPr lang="en-US" sz="1100"/>
            <a:t>:                                                                                                                                                                        .                                                    by:-</a:t>
          </a:r>
          <a:r>
            <a:rPr lang="en-US" sz="1000"/>
            <a:t>Geoffrey Nyaga Kinyua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27</xdr:row>
      <xdr:rowOff>0</xdr:rowOff>
    </xdr:from>
    <xdr:to>
      <xdr:col>2</xdr:col>
      <xdr:colOff>447675</xdr:colOff>
      <xdr:row>27</xdr:row>
      <xdr:rowOff>171450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>
          <a:off x="990600" y="5029200"/>
          <a:ext cx="67627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0</xdr:row>
      <xdr:rowOff>0</xdr:rowOff>
    </xdr:from>
    <xdr:to>
      <xdr:col>18</xdr:col>
      <xdr:colOff>142875</xdr:colOff>
      <xdr:row>13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29</xdr:row>
      <xdr:rowOff>133350</xdr:rowOff>
    </xdr:from>
    <xdr:to>
      <xdr:col>10</xdr:col>
      <xdr:colOff>600075</xdr:colOff>
      <xdr:row>29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>
          <a:off x="6343650" y="5772150"/>
          <a:ext cx="3524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285750</xdr:colOff>
      <xdr:row>29</xdr:row>
      <xdr:rowOff>142875</xdr:rowOff>
    </xdr:from>
    <xdr:to>
      <xdr:col>11</xdr:col>
      <xdr:colOff>0</xdr:colOff>
      <xdr:row>30</xdr:row>
      <xdr:rowOff>161925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>
          <a:off x="6381750" y="5781675"/>
          <a:ext cx="32385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13</xdr:row>
      <xdr:rowOff>176212</xdr:rowOff>
    </xdr:from>
    <xdr:to>
      <xdr:col>22</xdr:col>
      <xdr:colOff>342900</xdr:colOff>
      <xdr:row>28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31</xdr:row>
      <xdr:rowOff>28575</xdr:rowOff>
    </xdr:from>
    <xdr:to>
      <xdr:col>8</xdr:col>
      <xdr:colOff>571500</xdr:colOff>
      <xdr:row>31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H="1">
          <a:off x="4962525" y="5276850"/>
          <a:ext cx="5238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31</xdr:row>
      <xdr:rowOff>66675</xdr:rowOff>
    </xdr:from>
    <xdr:to>
      <xdr:col>8</xdr:col>
      <xdr:colOff>571500</xdr:colOff>
      <xdr:row>32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 flipH="1">
          <a:off x="4972050" y="5314950"/>
          <a:ext cx="514350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26</xdr:row>
      <xdr:rowOff>57150</xdr:rowOff>
    </xdr:from>
    <xdr:to>
      <xdr:col>5</xdr:col>
      <xdr:colOff>228600</xdr:colOff>
      <xdr:row>27</xdr:row>
      <xdr:rowOff>47625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V="1">
          <a:off x="2781300" y="5438775"/>
          <a:ext cx="53340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95250</xdr:colOff>
      <xdr:row>32</xdr:row>
      <xdr:rowOff>38100</xdr:rowOff>
    </xdr:from>
    <xdr:to>
      <xdr:col>9</xdr:col>
      <xdr:colOff>428625</xdr:colOff>
      <xdr:row>34</xdr:row>
      <xdr:rowOff>28575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 flipH="1">
          <a:off x="4400550" y="6715125"/>
          <a:ext cx="1552575" cy="409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33</xdr:row>
      <xdr:rowOff>142875</xdr:rowOff>
    </xdr:from>
    <xdr:to>
      <xdr:col>7</xdr:col>
      <xdr:colOff>114300</xdr:colOff>
      <xdr:row>34</xdr:row>
      <xdr:rowOff>28575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H="1" flipV="1">
          <a:off x="2238375" y="7048500"/>
          <a:ext cx="2181225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460375</xdr:colOff>
      <xdr:row>34</xdr:row>
      <xdr:rowOff>31750</xdr:rowOff>
    </xdr:from>
    <xdr:to>
      <xdr:col>7</xdr:col>
      <xdr:colOff>103188</xdr:colOff>
      <xdr:row>34</xdr:row>
      <xdr:rowOff>166687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2293938" y="7151688"/>
          <a:ext cx="2127250" cy="134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off/Documents/code/Kenya-One-Project/spreadsheets/1.%20initial%20sizing.xlsx" TargetMode="External"/><Relationship Id="rId1" Type="http://schemas.openxmlformats.org/officeDocument/2006/relationships/externalLinkPath" Target="1.%20initial%20siz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off/Documents/code/Kenya-One-Project/spreadsheets/2.%20Performance.xlsx" TargetMode="External"/><Relationship Id="rId1" Type="http://schemas.openxmlformats.org/officeDocument/2006/relationships/externalLinkPath" Target="2.%20Perfor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Analysis"/>
      <sheetName val="MTOW &amp; WEIGHTS"/>
      <sheetName val="Sref and POWER SIZING"/>
      <sheetName val="PERFORMANCE SIZING "/>
      <sheetName val="Detailed Weights"/>
      <sheetName val="V-n"/>
      <sheetName val="Wing &amp; Airfoil"/>
      <sheetName val="Drag analysis"/>
      <sheetName val="Wing Structural"/>
    </sheetNames>
    <sheetDataSet>
      <sheetData sheetId="0"/>
      <sheetData sheetId="1"/>
      <sheetData sheetId="2">
        <row r="5">
          <cell r="G5">
            <v>0.40822440553839295</v>
          </cell>
        </row>
        <row r="11">
          <cell r="B11">
            <v>61</v>
          </cell>
        </row>
        <row r="17">
          <cell r="B17">
            <v>7.8</v>
          </cell>
        </row>
        <row r="18">
          <cell r="B18">
            <v>0.75552604922347777</v>
          </cell>
        </row>
        <row r="25">
          <cell r="B25">
            <v>3.0219944010805921E-2</v>
          </cell>
        </row>
        <row r="29">
          <cell r="B29">
            <v>9.014705184847549E-2</v>
          </cell>
        </row>
        <row r="80">
          <cell r="H80">
            <v>23.951178858082848</v>
          </cell>
        </row>
      </sheetData>
      <sheetData sheetId="3"/>
      <sheetData sheetId="4"/>
      <sheetData sheetId="5"/>
      <sheetData sheetId="6">
        <row r="5">
          <cell r="B5">
            <v>0.45</v>
          </cell>
        </row>
        <row r="14">
          <cell r="L14">
            <v>0.33033961893414038</v>
          </cell>
        </row>
        <row r="15">
          <cell r="B15">
            <v>1.8</v>
          </cell>
          <cell r="L15">
            <v>-7.1677464485709705E-2</v>
          </cell>
        </row>
        <row r="25">
          <cell r="B25">
            <v>14</v>
          </cell>
        </row>
        <row r="29">
          <cell r="B29">
            <v>0.247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ke-off"/>
      <sheetName val="climb"/>
      <sheetName val="cruise"/>
      <sheetName val="Range &amp; Endurance"/>
      <sheetName val="Landing"/>
    </sheetNames>
    <sheetDataSet>
      <sheetData sheetId="0">
        <row r="7">
          <cell r="C7">
            <v>520</v>
          </cell>
        </row>
        <row r="16">
          <cell r="B16">
            <v>140</v>
          </cell>
        </row>
        <row r="17">
          <cell r="M17">
            <v>1.4869053204776603</v>
          </cell>
        </row>
      </sheetData>
      <sheetData sheetId="1">
        <row r="19">
          <cell r="B19">
            <v>75.225033459938444</v>
          </cell>
        </row>
      </sheetData>
      <sheetData sheetId="2">
        <row r="7">
          <cell r="B7">
            <v>0.75</v>
          </cell>
        </row>
      </sheetData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H36:Z45" headerRowCount="0" totalsRowShown="0">
  <tableColumns count="19">
    <tableColumn id="1" xr3:uid="{00000000-0010-0000-0000-000001000000}" name="Column1"/>
    <tableColumn id="2" xr3:uid="{00000000-0010-0000-0000-000002000000}" name="Column2">
      <calculatedColumnFormula>B$34</calculatedColumnFormula>
    </tableColumn>
    <tableColumn id="3" xr3:uid="{00000000-0010-0000-0000-000003000000}" name="Column3">
      <calculatedColumnFormula>0.5*1.225*(H36*0.514)^2</calculatedColumnFormula>
    </tableColumn>
    <tableColumn id="4" xr3:uid="{00000000-0010-0000-0000-000004000000}" name="Column4" headerRowDxfId="19">
      <calculatedColumnFormula>(2*Aileron!B$5*9.81)/(1.225*Aileron!B$7*(Elevator!H36*0.514)^2)</calculatedColumnFormula>
    </tableColumn>
    <tableColumn id="5" xr3:uid="{00000000-0010-0000-0000-000005000000}" name="Column5" headerRowDxfId="18">
      <calculatedColumnFormula>-(( (B$13 *(B$22-B$23)/(J36*Aileron!B$7*Aileron!B$15)+E$8))*Aileron!B$11 +(Elevator!N36-Elevator!B$7)*Elevator!G$29)/ ((Aileron!B$11*Elevator!B$32)-(Elevator!G$29*Elevator!B$33))</calculatedColumnFormula>
    </tableColumn>
    <tableColumn id="6" xr3:uid="{00000000-0010-0000-0000-000006000000}" name="Column6" dataDxfId="17">
      <calculatedColumnFormula>L36*57.3</calculatedColumnFormula>
    </tableColumn>
    <tableColumn id="7" xr3:uid="{00000000-0010-0000-0000-000007000000}" name="Column7">
      <calculatedColumnFormula>-(( (B$13 *(B$22-B$23)/(J36*Aileron!B$7*Aileron!B$15)+E$8))*Aileron!B$11 +(Elevator!K36-Elevator!B$7)*R36)/ ((Aileron!B$11*Elevator!S36)-(R36*Elevator!B$33))</calculatedColumnFormula>
    </tableColumn>
    <tableColumn id="8" xr3:uid="{00000000-0010-0000-0000-000008000000}" name="Column8" dataDxfId="16">
      <calculatedColumnFormula>#REF!*57.3</calculatedColumnFormula>
    </tableColumn>
    <tableColumn id="9" xr3:uid="{00000000-0010-0000-0000-000009000000}" name="Column9">
      <calculatedColumnFormula>5.2414</calculatedColumnFormula>
    </tableColumn>
    <tableColumn id="10" xr3:uid="{00000000-0010-0000-0000-00000A000000}" name="Column10">
      <calculatedColumnFormula>P36*Aileron!B$8/(Aileron!B$7*Aileron!B$15)</calculatedColumnFormula>
    </tableColumn>
    <tableColumn id="11" xr3:uid="{00000000-0010-0000-0000-00000B000000}" name="Column11">
      <calculatedColumnFormula>Aileron!B$11*((T36)/Aileron!B$15)-(H$3*H$6*(Aileron!B$8/Aileron!B$7)*(B$24/Aileron!B$15)*(1-Elevator!H$24))</calculatedColumnFormula>
    </tableColumn>
    <tableColumn id="12" xr3:uid="{00000000-0010-0000-0000-00000C000000}" name="Column12">
      <calculatedColumnFormula>-H$3*H$6*Q36*B$40*B$27</calculatedColumnFormula>
    </tableColumn>
    <tableColumn id="13" xr3:uid="{00000000-0010-0000-0000-00000D000000}" name="Column13"/>
    <tableColumn id="14" xr3:uid="{00000000-0010-0000-0000-00000E000000}" name="Column14" headerRowDxfId="15">
      <calculatedColumnFormula>(2*Aileron!B$5*9.81)/(0.90434*Aileron!B$7*(Elevator!H36*0.514)^2)</calculatedColumnFormula>
    </tableColumn>
    <tableColumn id="15" xr3:uid="{00000000-0010-0000-0000-00000F000000}" name="Column15" headerRowDxfId="14">
      <calculatedColumnFormula>0.5*0.90434*(H36*0.514)^2</calculatedColumnFormula>
    </tableColumn>
    <tableColumn id="16" xr3:uid="{00000000-0010-0000-0000-000010000000}" name="Column16">
      <calculatedColumnFormula>-(( (B$13 *(B$22-B$23)/(V36*Aileron!B$7*Aileron!B$15)+E$8))*Aileron!B$11 +(U36-Elevator!B$7)*Elevator!G$29)/ ((Aileron!B$11*Elevator!B$32)-(Elevator!G$29*Elevator!B$33))</calculatedColumnFormula>
    </tableColumn>
    <tableColumn id="17" xr3:uid="{00000000-0010-0000-0000-000011000000}" name="Column17" dataDxfId="13">
      <calculatedColumnFormula>#REF!*57.3</calculatedColumnFormula>
    </tableColumn>
    <tableColumn id="18" xr3:uid="{00000000-0010-0000-0000-000012000000}" name="Column18">
      <calculatedColumnFormula>-(( (B$13 *(B$22-B$23)/(V36*Aileron!B$7*Aileron!B$15)+E$8))*Aileron!B$11 +(X36-Elevator!B$7)*R36)/ ((Aileron!B$11*Elevator!S36)-(R36*Elevator!B$33))</calculatedColumnFormula>
    </tableColumn>
    <tableColumn id="19" xr3:uid="{00000000-0010-0000-0000-000013000000}" name="Column19" dataDxfId="12">
      <calculatedColumnFormula>Y36*57.3</calculatedColumnFormula>
    </tableColumn>
  </tableColumns>
  <tableStyleInfo name="TableStyleLight15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D2:E8" headerRowCount="0" totalsRowShown="0">
  <tableColumns count="2">
    <tableColumn id="1" xr3:uid="{00000000-0010-0000-0100-000001000000}" name="Column1" dataDxfId="11"/>
    <tableColumn id="2" xr3:uid="{00000000-0010-0000-0100-000002000000}" name="Column2" headerRowDxfId="10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15" headerRowCount="0" totalsRowShown="0">
  <tableColumns count="2">
    <tableColumn id="1" xr3:uid="{00000000-0010-0000-0200-000001000000}" name="Column1" headerRowDxfId="8" dataDxfId="7"/>
    <tableColumn id="2" xr3:uid="{00000000-0010-0000-0200-000002000000}" name="Column2" headerRowDxfId="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2:H9" headerRowCount="0" totalsRowShown="0">
  <tableColumns count="2">
    <tableColumn id="1" xr3:uid="{00000000-0010-0000-0300-000001000000}" name="Column1" dataDxfId="5"/>
    <tableColumn id="2" xr3:uid="{00000000-0010-0000-0300-000002000000}" name="Column2" headerRowDxfId="4" dataDxfId="3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D15:E23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7:B24" headerRowCount="0" totalsRowShown="0">
  <tableColumns count="2">
    <tableColumn id="1" xr3:uid="{00000000-0010-0000-0500-000001000000}" name="Column1" dataDxfId="2"/>
    <tableColumn id="2" xr3:uid="{00000000-0010-0000-0500-000002000000}" name="Column2" headerRowDxfId="1" dataDxfId="0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F29:H33" headerRowCount="0" totalsRowShown="0">
  <tableColumns count="3">
    <tableColumn id="1" xr3:uid="{00000000-0010-0000-0600-000001000000}" name="Column1"/>
    <tableColumn id="2" xr3:uid="{00000000-0010-0000-0600-000002000000}" name="Column2"/>
    <tableColumn id="3" xr3:uid="{00000000-0010-0000-0600-000003000000}" name="Column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.xml"/><Relationship Id="rId11" Type="http://schemas.openxmlformats.org/officeDocument/2006/relationships/comments" Target="../comments2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M46"/>
  <sheetViews>
    <sheetView zoomScale="90" zoomScaleNormal="90" workbookViewId="0">
      <selection activeCell="O16" sqref="O16"/>
    </sheetView>
  </sheetViews>
  <sheetFormatPr baseColWidth="10" defaultColWidth="8.83203125" defaultRowHeight="15" x14ac:dyDescent="0.2"/>
  <cols>
    <col min="4" max="4" width="10.33203125" customWidth="1"/>
  </cols>
  <sheetData>
    <row r="5" spans="1:13" ht="17" x14ac:dyDescent="0.25">
      <c r="A5" s="2" t="s">
        <v>0</v>
      </c>
      <c r="B5">
        <f>[1]!Table9[[#Headers],[5850]]/2.204623</f>
        <v>2653.514909351848</v>
      </c>
      <c r="C5" t="s">
        <v>1</v>
      </c>
      <c r="D5" s="10" t="s">
        <v>193</v>
      </c>
      <c r="E5" s="10"/>
      <c r="F5" s="10"/>
      <c r="G5" t="s">
        <v>12</v>
      </c>
      <c r="H5" s="7">
        <v>60</v>
      </c>
      <c r="I5" t="s">
        <v>14</v>
      </c>
      <c r="K5" s="1" t="s">
        <v>206</v>
      </c>
      <c r="L5">
        <f>B8/Aileron!L6</f>
        <v>1.2919793056840305</v>
      </c>
      <c r="M5" t="s">
        <v>10</v>
      </c>
    </row>
    <row r="6" spans="1:13" ht="17" x14ac:dyDescent="0.25">
      <c r="A6" s="2" t="s">
        <v>2</v>
      </c>
      <c r="B6">
        <f>'[1]Sref and POWER SIZING'!$B$17</f>
        <v>7.8</v>
      </c>
      <c r="G6" t="s">
        <v>13</v>
      </c>
      <c r="H6" s="7">
        <v>90</v>
      </c>
      <c r="I6" t="s">
        <v>14</v>
      </c>
      <c r="K6" s="1" t="s">
        <v>197</v>
      </c>
      <c r="L6">
        <f>SQRT(Aileron!B17*Aileron!B8)</f>
        <v>4.9095213615993156</v>
      </c>
      <c r="M6" t="s">
        <v>10</v>
      </c>
    </row>
    <row r="7" spans="1:13" ht="17" x14ac:dyDescent="0.25">
      <c r="A7" s="2" t="s">
        <v>4</v>
      </c>
      <c r="B7">
        <f>'[1]Sref and POWER SIZING'!$H$80</f>
        <v>23.951178858082848</v>
      </c>
      <c r="C7" t="s">
        <v>11</v>
      </c>
      <c r="K7" s="1" t="s">
        <v>202</v>
      </c>
      <c r="L7">
        <f>((3/2)*L5)/( (1+B20+B20^2)/(1+B20))</f>
        <v>1.4296492316995417</v>
      </c>
      <c r="M7" t="s">
        <v>10</v>
      </c>
    </row>
    <row r="8" spans="1:13" ht="17" x14ac:dyDescent="0.25">
      <c r="A8" s="2" t="s">
        <v>3</v>
      </c>
      <c r="B8" s="10">
        <v>6.343</v>
      </c>
      <c r="C8" t="s">
        <v>11</v>
      </c>
      <c r="G8" t="s">
        <v>15</v>
      </c>
      <c r="H8" s="7">
        <v>20</v>
      </c>
      <c r="I8" t="s">
        <v>14</v>
      </c>
      <c r="K8" s="1" t="s">
        <v>196</v>
      </c>
      <c r="L8" s="10">
        <v>0.09</v>
      </c>
    </row>
    <row r="9" spans="1:13" x14ac:dyDescent="0.2">
      <c r="A9" s="2" t="s">
        <v>5</v>
      </c>
      <c r="B9" s="10">
        <v>4.9875999999999996</v>
      </c>
      <c r="C9" t="s">
        <v>11</v>
      </c>
    </row>
    <row r="10" spans="1:13" x14ac:dyDescent="0.2">
      <c r="A10" s="2" t="s">
        <v>6</v>
      </c>
      <c r="B10">
        <f>'[1]Sref and POWER SIZING'!$B$11</f>
        <v>61</v>
      </c>
      <c r="C10" t="s">
        <v>176</v>
      </c>
      <c r="D10" s="2">
        <f>B10*0.514</f>
        <v>31.353999999999999</v>
      </c>
      <c r="E10" t="s">
        <v>8</v>
      </c>
      <c r="G10" s="1" t="s">
        <v>16</v>
      </c>
      <c r="H10" s="10">
        <v>0.41</v>
      </c>
      <c r="I10" s="19" t="s">
        <v>17</v>
      </c>
      <c r="J10" s="17"/>
      <c r="K10" s="17"/>
      <c r="L10" s="17"/>
    </row>
    <row r="11" spans="1:13" ht="17" x14ac:dyDescent="0.25">
      <c r="A11" s="2" t="s">
        <v>20</v>
      </c>
      <c r="B11">
        <f>[1]!Table21[[#This Row],[Column4]]</f>
        <v>4.7321150412315607</v>
      </c>
    </row>
    <row r="12" spans="1:13" ht="17" x14ac:dyDescent="0.25">
      <c r="A12" s="3" t="s">
        <v>205</v>
      </c>
      <c r="B12">
        <f>'[1]Wing &amp; Airfoil'!$B$5</f>
        <v>0.45</v>
      </c>
      <c r="G12" s="1"/>
    </row>
    <row r="13" spans="1:13" ht="17" x14ac:dyDescent="0.25">
      <c r="A13" s="2" t="s">
        <v>204</v>
      </c>
      <c r="B13">
        <f>SQRT(B7*B6)</f>
        <v>13.668181850306434</v>
      </c>
      <c r="C13" t="s">
        <v>10</v>
      </c>
      <c r="G13" t="s">
        <v>21</v>
      </c>
      <c r="H13">
        <f>H6*B13/200</f>
        <v>6.1506818326378951</v>
      </c>
    </row>
    <row r="14" spans="1:13" ht="17" x14ac:dyDescent="0.25">
      <c r="A14" s="2" t="s">
        <v>203</v>
      </c>
      <c r="B14">
        <f>(3/2)*B15*((1+B12)/(1+B12+B12^2))</f>
        <v>2.3063963322406993</v>
      </c>
      <c r="G14" t="s">
        <v>22</v>
      </c>
      <c r="H14">
        <f>H5*B13/200</f>
        <v>4.1004545550919298</v>
      </c>
    </row>
    <row r="15" spans="1:13" ht="17" x14ac:dyDescent="0.25">
      <c r="A15" s="2" t="s">
        <v>201</v>
      </c>
      <c r="B15">
        <f>B13/B6</f>
        <v>1.7523310064495428</v>
      </c>
      <c r="C15" t="s">
        <v>10</v>
      </c>
      <c r="G15" t="s">
        <v>19</v>
      </c>
      <c r="H15">
        <f>(2*B11*H10*B14/(B7*B13))*((0.5*H13^2+(2/3*(B12-1)/B13*H13^3))-(0.5*H14^2+(2/3*(B12-1)/B13*H14^3)))</f>
        <v>0.16719852854795431</v>
      </c>
    </row>
    <row r="16" spans="1:13" ht="17" x14ac:dyDescent="0.25">
      <c r="A16" s="3" t="s">
        <v>170</v>
      </c>
      <c r="B16">
        <f>B13^2*B5*0.34^2/(4*9.81)</f>
        <v>1460.4001339948557</v>
      </c>
      <c r="C16" s="19" t="s">
        <v>18</v>
      </c>
      <c r="D16" s="17"/>
      <c r="E16" s="17"/>
      <c r="G16" s="6" t="s">
        <v>23</v>
      </c>
      <c r="H16" s="11">
        <v>17</v>
      </c>
      <c r="I16" t="s">
        <v>24</v>
      </c>
    </row>
    <row r="17" spans="1:12" ht="17" x14ac:dyDescent="0.25">
      <c r="A17" s="3" t="s">
        <v>143</v>
      </c>
      <c r="B17" s="10">
        <v>3.8</v>
      </c>
    </row>
    <row r="18" spans="1:12" ht="17" x14ac:dyDescent="0.25">
      <c r="A18" s="3" t="s">
        <v>26</v>
      </c>
      <c r="B18" s="12">
        <v>1.3</v>
      </c>
      <c r="C18" s="4" t="s">
        <v>27</v>
      </c>
      <c r="D18">
        <f>B18*D10</f>
        <v>40.760199999999998</v>
      </c>
      <c r="E18" t="s">
        <v>8</v>
      </c>
      <c r="G18" t="s">
        <v>25</v>
      </c>
      <c r="H18">
        <f>H15*H16/57.2958</f>
        <v>4.9608784331752469E-2</v>
      </c>
    </row>
    <row r="19" spans="1:12" ht="17" x14ac:dyDescent="0.25">
      <c r="A19" s="3" t="s">
        <v>195</v>
      </c>
      <c r="B19" s="10">
        <v>5</v>
      </c>
      <c r="C19" t="s">
        <v>24</v>
      </c>
    </row>
    <row r="20" spans="1:12" ht="17" x14ac:dyDescent="0.25">
      <c r="A20" s="1" t="s">
        <v>194</v>
      </c>
      <c r="B20" s="10">
        <v>0.8</v>
      </c>
      <c r="D20" s="4" t="s">
        <v>31</v>
      </c>
      <c r="E20" s="2">
        <v>0.7</v>
      </c>
      <c r="F20" t="s">
        <v>34</v>
      </c>
      <c r="G20" s="1" t="s">
        <v>35</v>
      </c>
      <c r="H20">
        <f>B16*LN(E23^2)/(1.225*E22^3*(B7+B8+B9)*E20)</f>
        <v>9.4031689769620037</v>
      </c>
      <c r="I20" t="s">
        <v>37</v>
      </c>
      <c r="J20">
        <f>H20*57.2958</f>
        <v>538.76208907021953</v>
      </c>
      <c r="K20" t="s">
        <v>24</v>
      </c>
    </row>
    <row r="21" spans="1:12" ht="18" x14ac:dyDescent="0.25">
      <c r="A21" s="3" t="s">
        <v>28</v>
      </c>
      <c r="B21">
        <f>0.5*1.225*D18^2*B7*H18*B13</f>
        <v>16526.273378620739</v>
      </c>
      <c r="E21" s="7">
        <v>40</v>
      </c>
      <c r="G21" s="1" t="s">
        <v>38</v>
      </c>
      <c r="H21">
        <f>E23^2/(2*H20)</f>
        <v>2.8437660027957139</v>
      </c>
      <c r="I21" t="s">
        <v>39</v>
      </c>
    </row>
    <row r="22" spans="1:12" ht="17" x14ac:dyDescent="0.25">
      <c r="A22" s="29" t="s">
        <v>33</v>
      </c>
      <c r="B22" s="29"/>
      <c r="C22" s="29"/>
      <c r="D22" t="s">
        <v>32</v>
      </c>
      <c r="E22">
        <f>E21*B13/200</f>
        <v>2.7336363700612867</v>
      </c>
    </row>
    <row r="23" spans="1:12" ht="18" x14ac:dyDescent="0.25">
      <c r="D23" t="s">
        <v>30</v>
      </c>
      <c r="E23">
        <f>SQRT((2*B21)/(1.225*(B7+B8+B9)*E20*E22^3)    )</f>
        <v>7.3130584922080173</v>
      </c>
      <c r="G23" t="s">
        <v>40</v>
      </c>
      <c r="H23" s="9">
        <f>SQRT(2*30/(H21*57.3))</f>
        <v>0.60680812221158964</v>
      </c>
      <c r="I23" t="s">
        <v>41</v>
      </c>
      <c r="J23" s="14" t="s">
        <v>50</v>
      </c>
    </row>
    <row r="24" spans="1:12" ht="17" x14ac:dyDescent="0.25">
      <c r="G24" t="s">
        <v>42</v>
      </c>
      <c r="H24">
        <v>1.8</v>
      </c>
      <c r="I24" t="s">
        <v>41</v>
      </c>
      <c r="J24" s="19" t="s">
        <v>49</v>
      </c>
      <c r="K24" s="17"/>
      <c r="L24" s="17"/>
    </row>
    <row r="25" spans="1:12" x14ac:dyDescent="0.2">
      <c r="A25" s="13" t="s">
        <v>48</v>
      </c>
      <c r="B25" s="13"/>
    </row>
    <row r="26" spans="1:12" ht="17" x14ac:dyDescent="0.25">
      <c r="A26" t="s">
        <v>43</v>
      </c>
      <c r="B26" s="8">
        <f>H13-H14</f>
        <v>2.0502272775459653</v>
      </c>
      <c r="C26" t="s">
        <v>10</v>
      </c>
    </row>
    <row r="27" spans="1:12" ht="17" x14ac:dyDescent="0.25">
      <c r="A27" t="s">
        <v>44</v>
      </c>
      <c r="B27" s="8">
        <f>H8*B15/100</f>
        <v>0.35046620128990852</v>
      </c>
      <c r="C27" t="s">
        <v>10</v>
      </c>
    </row>
    <row r="28" spans="1:12" ht="18" x14ac:dyDescent="0.25">
      <c r="A28" t="s">
        <v>45</v>
      </c>
      <c r="B28" s="8">
        <f>2*B27*B26</f>
        <v>1.4370707314849709</v>
      </c>
      <c r="C28" t="s">
        <v>46</v>
      </c>
    </row>
    <row r="29" spans="1:12" ht="17" x14ac:dyDescent="0.25">
      <c r="A29" t="s">
        <v>47</v>
      </c>
      <c r="B29">
        <f>B28/B7</f>
        <v>0.06</v>
      </c>
    </row>
    <row r="32" spans="1:12" ht="17" x14ac:dyDescent="0.25">
      <c r="A32" s="1" t="s">
        <v>52</v>
      </c>
      <c r="B32" t="s">
        <v>40</v>
      </c>
      <c r="D32" s="1"/>
    </row>
    <row r="33" spans="1:4" x14ac:dyDescent="0.2">
      <c r="A33">
        <v>0</v>
      </c>
      <c r="B33">
        <f>SQRT((2*A33)/(H$21*57.2958))</f>
        <v>0</v>
      </c>
    </row>
    <row r="34" spans="1:4" x14ac:dyDescent="0.2">
      <c r="A34">
        <v>5</v>
      </c>
      <c r="B34">
        <f t="shared" ref="B34:B41" si="0">SQRT((2*A34)/(H$21*57.2958))</f>
        <v>0.24773745808213105</v>
      </c>
    </row>
    <row r="35" spans="1:4" x14ac:dyDescent="0.2">
      <c r="A35">
        <v>10</v>
      </c>
      <c r="B35">
        <f t="shared" si="0"/>
        <v>0.35035367312758586</v>
      </c>
    </row>
    <row r="36" spans="1:4" x14ac:dyDescent="0.2">
      <c r="A36">
        <v>15</v>
      </c>
      <c r="B36">
        <f t="shared" si="0"/>
        <v>0.42909386433621594</v>
      </c>
    </row>
    <row r="37" spans="1:4" x14ac:dyDescent="0.2">
      <c r="A37">
        <v>20</v>
      </c>
      <c r="B37">
        <f t="shared" si="0"/>
        <v>0.49547491616426209</v>
      </c>
    </row>
    <row r="38" spans="1:4" x14ac:dyDescent="0.2">
      <c r="A38">
        <v>25</v>
      </c>
      <c r="B38">
        <f t="shared" si="0"/>
        <v>0.55395779684464963</v>
      </c>
    </row>
    <row r="39" spans="1:4" x14ac:dyDescent="0.2">
      <c r="A39">
        <v>30</v>
      </c>
      <c r="B39">
        <f t="shared" si="0"/>
        <v>0.60683036247535749</v>
      </c>
    </row>
    <row r="40" spans="1:4" x14ac:dyDescent="0.2">
      <c r="A40">
        <v>40</v>
      </c>
      <c r="B40">
        <f t="shared" si="0"/>
        <v>0.70070734625517173</v>
      </c>
    </row>
    <row r="41" spans="1:4" x14ac:dyDescent="0.2">
      <c r="A41">
        <v>60</v>
      </c>
      <c r="B41">
        <f t="shared" si="0"/>
        <v>0.85818772867243187</v>
      </c>
    </row>
    <row r="43" spans="1:4" ht="17" x14ac:dyDescent="0.25">
      <c r="A43" t="s">
        <v>40</v>
      </c>
      <c r="D43" s="5" t="s">
        <v>51</v>
      </c>
    </row>
    <row r="44" spans="1:4" x14ac:dyDescent="0.2">
      <c r="A44">
        <f>H$23</f>
        <v>0.60680812221158964</v>
      </c>
      <c r="B44">
        <v>0</v>
      </c>
      <c r="C44">
        <v>1E-3</v>
      </c>
      <c r="D44">
        <v>30</v>
      </c>
    </row>
    <row r="45" spans="1:4" x14ac:dyDescent="0.2">
      <c r="A45">
        <f t="shared" ref="A45:A46" si="1">H$23</f>
        <v>0.60680812221158964</v>
      </c>
      <c r="B45">
        <v>0.1</v>
      </c>
      <c r="C45">
        <v>5.0000000000000001E-3</v>
      </c>
      <c r="D45">
        <v>30</v>
      </c>
    </row>
    <row r="46" spans="1:4" x14ac:dyDescent="0.2">
      <c r="A46">
        <f t="shared" si="1"/>
        <v>0.60680812221158964</v>
      </c>
      <c r="B46">
        <v>60</v>
      </c>
      <c r="C46">
        <v>0.85</v>
      </c>
      <c r="D46">
        <v>30</v>
      </c>
    </row>
  </sheetData>
  <mergeCells count="1">
    <mergeCell ref="A22:C22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45"/>
  <sheetViews>
    <sheetView tabSelected="1" zoomScale="133" zoomScaleNormal="80" workbookViewId="0">
      <selection activeCell="A3" sqref="A3"/>
    </sheetView>
  </sheetViews>
  <sheetFormatPr baseColWidth="10" defaultColWidth="8.83203125" defaultRowHeight="15" x14ac:dyDescent="0.2"/>
  <cols>
    <col min="1" max="2" width="11" customWidth="1"/>
    <col min="4" max="16" width="11" customWidth="1"/>
    <col min="17" max="26" width="12" customWidth="1"/>
  </cols>
  <sheetData>
    <row r="1" spans="1:9" ht="17" x14ac:dyDescent="0.25">
      <c r="A1" s="27" t="s">
        <v>214</v>
      </c>
      <c r="B1" s="10">
        <v>-21</v>
      </c>
      <c r="C1" t="s">
        <v>24</v>
      </c>
      <c r="D1" s="13" t="s">
        <v>63</v>
      </c>
      <c r="G1" s="13" t="s">
        <v>62</v>
      </c>
    </row>
    <row r="2" spans="1:9" ht="18" x14ac:dyDescent="0.25">
      <c r="A2" s="28" t="s">
        <v>215</v>
      </c>
      <c r="B2">
        <f>Aileron!B13^2*Aileron!B5*0.29^2/(4*9.81)</f>
        <v>1062.4537307004093</v>
      </c>
      <c r="C2" t="s">
        <v>142</v>
      </c>
      <c r="D2" s="2" t="s">
        <v>234</v>
      </c>
      <c r="E2" s="10">
        <v>0.8</v>
      </c>
      <c r="G2" s="28" t="s">
        <v>226</v>
      </c>
      <c r="H2" s="10">
        <v>0.10100000000000001</v>
      </c>
      <c r="I2" t="s">
        <v>211</v>
      </c>
    </row>
    <row r="3" spans="1:9" ht="17" x14ac:dyDescent="0.25">
      <c r="A3" s="28" t="s">
        <v>216</v>
      </c>
      <c r="B3" s="10">
        <v>1.3462000000000001</v>
      </c>
      <c r="C3" t="s">
        <v>10</v>
      </c>
      <c r="D3" s="2" t="s">
        <v>58</v>
      </c>
      <c r="E3">
        <f>'[1]Wing &amp; Airfoil'!$L$15</f>
        <v>-7.1677464485709705E-2</v>
      </c>
      <c r="G3" s="28" t="s">
        <v>227</v>
      </c>
      <c r="H3">
        <f>(H2/(1+(H2/(3.142*Aileron!B17))))*57.3</f>
        <v>5.7387544707074394</v>
      </c>
      <c r="I3" t="s">
        <v>86</v>
      </c>
    </row>
    <row r="4" spans="1:9" ht="17" x14ac:dyDescent="0.25">
      <c r="A4" s="28" t="s">
        <v>217</v>
      </c>
      <c r="B4" s="10">
        <v>9.1</v>
      </c>
      <c r="C4" t="s">
        <v>10</v>
      </c>
      <c r="D4" s="2" t="s">
        <v>59</v>
      </c>
      <c r="E4">
        <f>'[1]Wing &amp; Airfoil'!$B$15</f>
        <v>1.8</v>
      </c>
      <c r="F4" t="s">
        <v>24</v>
      </c>
      <c r="G4" s="28" t="s">
        <v>228</v>
      </c>
      <c r="H4" s="10">
        <v>-0.35660999999999998</v>
      </c>
      <c r="I4" t="s">
        <v>24</v>
      </c>
    </row>
    <row r="5" spans="1:9" ht="17" x14ac:dyDescent="0.25">
      <c r="A5" s="28" t="s">
        <v>53</v>
      </c>
      <c r="B5">
        <f>'[1]Sref and POWER SIZING'!$B$25</f>
        <v>3.0219944010805921E-2</v>
      </c>
      <c r="D5" s="2" t="s">
        <v>60</v>
      </c>
      <c r="E5" s="10">
        <f>'[1]Wing &amp; Airfoil'!$B$29</f>
        <v>0.247</v>
      </c>
      <c r="G5" s="27" t="s">
        <v>229</v>
      </c>
      <c r="H5">
        <f>Aileron!B20</f>
        <v>0.8</v>
      </c>
    </row>
    <row r="6" spans="1:9" ht="17" x14ac:dyDescent="0.25">
      <c r="A6" s="28" t="s">
        <v>54</v>
      </c>
      <c r="B6">
        <f>'[2]take-off'!$B$16</f>
        <v>140</v>
      </c>
      <c r="C6" t="s">
        <v>55</v>
      </c>
      <c r="D6" s="3" t="s">
        <v>61</v>
      </c>
      <c r="E6">
        <f>'[1]Wing &amp; Airfoil'!$B$25</f>
        <v>14</v>
      </c>
      <c r="G6" s="27" t="s">
        <v>230</v>
      </c>
      <c r="H6" s="10">
        <v>0.98</v>
      </c>
    </row>
    <row r="7" spans="1:9" ht="17" x14ac:dyDescent="0.25">
      <c r="A7" s="28" t="s">
        <v>233</v>
      </c>
      <c r="B7">
        <f>'[1]Wing &amp; Airfoil'!$L$14</f>
        <v>0.33033961893414038</v>
      </c>
      <c r="D7" s="3" t="s">
        <v>67</v>
      </c>
      <c r="E7">
        <f>'[2]take-off'!$M$17</f>
        <v>1.4869053204776603</v>
      </c>
      <c r="G7" s="27" t="s">
        <v>64</v>
      </c>
      <c r="H7" s="10">
        <v>14</v>
      </c>
      <c r="I7" t="s">
        <v>24</v>
      </c>
    </row>
    <row r="8" spans="1:9" ht="17" x14ac:dyDescent="0.25">
      <c r="A8" s="28" t="s">
        <v>56</v>
      </c>
      <c r="B8" s="10">
        <v>2.58E-2</v>
      </c>
      <c r="D8" s="3" t="s">
        <v>91</v>
      </c>
      <c r="E8">
        <f>E3</f>
        <v>-7.1677464485709705E-2</v>
      </c>
      <c r="G8" s="27" t="s">
        <v>231</v>
      </c>
      <c r="H8" s="10">
        <v>0</v>
      </c>
      <c r="I8" t="s">
        <v>24</v>
      </c>
    </row>
    <row r="9" spans="1:9" ht="17" x14ac:dyDescent="0.25">
      <c r="A9" s="28" t="s">
        <v>57</v>
      </c>
      <c r="B9">
        <f>'[1]Sref and POWER SIZING'!$B$18</f>
        <v>0.75552604922347777</v>
      </c>
      <c r="G9" s="27" t="s">
        <v>232</v>
      </c>
      <c r="H9" s="10">
        <v>5.0999999999999996</v>
      </c>
      <c r="I9" t="s">
        <v>10</v>
      </c>
    </row>
    <row r="10" spans="1:9" x14ac:dyDescent="0.2">
      <c r="A10" s="28" t="s">
        <v>69</v>
      </c>
      <c r="B10">
        <f>Aileron!D10</f>
        <v>31.353999999999999</v>
      </c>
      <c r="C10" s="4" t="s">
        <v>66</v>
      </c>
      <c r="D10">
        <f>'[1]Sref and POWER SIZING'!$G$5</f>
        <v>0.40822440553839295</v>
      </c>
      <c r="E10" s="4" t="s">
        <v>68</v>
      </c>
      <c r="F10">
        <f>B5+(B12*E7^2)</f>
        <v>0.14962326466758191</v>
      </c>
    </row>
    <row r="11" spans="1:9" ht="17" x14ac:dyDescent="0.25">
      <c r="A11" s="27" t="s">
        <v>71</v>
      </c>
      <c r="B11">
        <f>'[1]Sref and POWER SIZING'!$B$29</f>
        <v>9.014705184847549E-2</v>
      </c>
      <c r="G11" s="4" t="s">
        <v>188</v>
      </c>
      <c r="H11">
        <f>0.5*1.225*B10^2*Aileron!B7*Elevator!F10</f>
        <v>2157.8339485911006</v>
      </c>
      <c r="I11" t="s">
        <v>70</v>
      </c>
    </row>
    <row r="12" spans="1:9" ht="18" x14ac:dyDescent="0.25">
      <c r="A12" s="28" t="s">
        <v>65</v>
      </c>
      <c r="B12">
        <f>1/(3.142*(B9*Aileron!B6))</f>
        <v>5.4006965223581664E-2</v>
      </c>
      <c r="D12" s="3" t="s">
        <v>140</v>
      </c>
      <c r="E12" s="10">
        <v>9</v>
      </c>
      <c r="F12" t="s">
        <v>141</v>
      </c>
      <c r="G12" s="4" t="s">
        <v>187</v>
      </c>
      <c r="H12">
        <f>0.5*1.225*B10^2*Aileron!B7*Elevator!E7</f>
        <v>21443.822830598838</v>
      </c>
      <c r="I12" t="s">
        <v>70</v>
      </c>
    </row>
    <row r="13" spans="1:9" x14ac:dyDescent="0.2">
      <c r="A13" s="28" t="s">
        <v>74</v>
      </c>
      <c r="B13" s="10">
        <v>3800</v>
      </c>
      <c r="C13" t="s">
        <v>70</v>
      </c>
    </row>
    <row r="14" spans="1:9" x14ac:dyDescent="0.2">
      <c r="A14" s="28" t="s">
        <v>72</v>
      </c>
      <c r="B14">
        <f>B11*(9.81*Aileron!B5-Elevator!H12)</f>
        <v>413.51880883925389</v>
      </c>
      <c r="C14" t="s">
        <v>70</v>
      </c>
    </row>
    <row r="15" spans="1:9" ht="17" x14ac:dyDescent="0.25">
      <c r="A15" s="28" t="s">
        <v>73</v>
      </c>
      <c r="B15">
        <f>(B13-H11-B14)/Aileron!B5</f>
        <v>0.46302631963343938</v>
      </c>
      <c r="C15" t="s">
        <v>75</v>
      </c>
      <c r="D15" t="s">
        <v>178</v>
      </c>
      <c r="E15">
        <f>0.5*1.225*B10^2*E3*Aileron!B7*Aileron!B15</f>
        <v>-1811.4138114843324</v>
      </c>
      <c r="F15" t="s">
        <v>29</v>
      </c>
    </row>
    <row r="16" spans="1:9" ht="17" x14ac:dyDescent="0.25">
      <c r="D16" t="s">
        <v>179</v>
      </c>
      <c r="E16">
        <f>-Aileron!B5*9.81*(B17-B18)</f>
        <v>-16111.615541523426</v>
      </c>
      <c r="F16" t="s">
        <v>29</v>
      </c>
      <c r="G16" s="4" t="s">
        <v>87</v>
      </c>
      <c r="H16" s="10">
        <v>0.477468</v>
      </c>
    </row>
    <row r="17" spans="1:15" ht="17" x14ac:dyDescent="0.25">
      <c r="A17" s="28" t="s">
        <v>218</v>
      </c>
      <c r="B17" s="10">
        <v>0</v>
      </c>
      <c r="D17" t="s">
        <v>180</v>
      </c>
      <c r="E17">
        <f>H11*(B19-B20)</f>
        <v>3452.5343177457612</v>
      </c>
      <c r="F17" t="s">
        <v>29</v>
      </c>
      <c r="G17" s="4" t="s">
        <v>186</v>
      </c>
      <c r="H17" s="10">
        <v>0.17684</v>
      </c>
    </row>
    <row r="18" spans="1:15" ht="17" x14ac:dyDescent="0.25">
      <c r="A18" s="28" t="s">
        <v>219</v>
      </c>
      <c r="B18" s="10">
        <v>-0.61894000000000005</v>
      </c>
      <c r="C18" t="s">
        <v>10</v>
      </c>
      <c r="D18" t="s">
        <v>181</v>
      </c>
      <c r="E18">
        <f>-B13*(B23-B20)</f>
        <v>-4940</v>
      </c>
      <c r="F18" t="s">
        <v>29</v>
      </c>
    </row>
    <row r="19" spans="1:15" ht="17" x14ac:dyDescent="0.25">
      <c r="A19" s="28" t="s">
        <v>220</v>
      </c>
      <c r="B19" s="10">
        <v>1.6</v>
      </c>
      <c r="D19" t="s">
        <v>182</v>
      </c>
      <c r="E19">
        <f>H12*(B17-B21)</f>
        <v>10238.739199280366</v>
      </c>
      <c r="F19" t="s">
        <v>29</v>
      </c>
    </row>
    <row r="20" spans="1:15" ht="17" x14ac:dyDescent="0.25">
      <c r="A20" s="28" t="s">
        <v>221</v>
      </c>
      <c r="B20" s="10">
        <v>0</v>
      </c>
      <c r="D20" t="s">
        <v>183</v>
      </c>
      <c r="E20">
        <f>Aileron!B5*B15*(B22-B20)</f>
        <v>1842.9708638544685</v>
      </c>
      <c r="F20" t="s">
        <v>29</v>
      </c>
    </row>
    <row r="21" spans="1:15" ht="17" x14ac:dyDescent="0.25">
      <c r="A21" s="28" t="s">
        <v>222</v>
      </c>
      <c r="B21" s="10">
        <v>-0.477468</v>
      </c>
    </row>
    <row r="22" spans="1:15" ht="17" x14ac:dyDescent="0.25">
      <c r="A22" s="28" t="s">
        <v>223</v>
      </c>
      <c r="B22" s="10">
        <v>1.5</v>
      </c>
      <c r="D22" t="s">
        <v>184</v>
      </c>
      <c r="E22">
        <f>(E19+E15+E20+E16+E17+E18-(B2*E12/57.3))/(B24-B17)</f>
        <v>-1621.5490820727327</v>
      </c>
      <c r="F22" t="s">
        <v>70</v>
      </c>
      <c r="G22" s="3" t="s">
        <v>80</v>
      </c>
      <c r="H22">
        <f>2*E7/(3.142*Aileron!B6)</f>
        <v>0.12134238525825951</v>
      </c>
      <c r="I22" t="s">
        <v>36</v>
      </c>
    </row>
    <row r="23" spans="1:15" ht="17" x14ac:dyDescent="0.25">
      <c r="A23" s="28" t="s">
        <v>224</v>
      </c>
      <c r="B23" s="10">
        <v>1.3</v>
      </c>
      <c r="D23" t="s">
        <v>185</v>
      </c>
      <c r="E23">
        <f>2*E22/(1.225*B10^2*Aileron!B8)</f>
        <v>-0.42456421501820285</v>
      </c>
      <c r="G23" s="4" t="s">
        <v>77</v>
      </c>
      <c r="H23">
        <f>H22*57.3</f>
        <v>6.9529186752982692</v>
      </c>
      <c r="I23" t="s">
        <v>24</v>
      </c>
    </row>
    <row r="24" spans="1:15" ht="17" x14ac:dyDescent="0.25">
      <c r="A24" s="28" t="s">
        <v>225</v>
      </c>
      <c r="B24" s="10">
        <v>4.6225319999999996</v>
      </c>
      <c r="G24" s="1" t="s">
        <v>78</v>
      </c>
      <c r="H24">
        <f>2*Aileron!B11/(3.142*Aileron!B6)</f>
        <v>0.38617531224857277</v>
      </c>
      <c r="I24" t="s">
        <v>79</v>
      </c>
    </row>
    <row r="25" spans="1:15" x14ac:dyDescent="0.2">
      <c r="G25" s="3" t="s">
        <v>76</v>
      </c>
      <c r="H25">
        <f>H22+(H24*E4/57.3)</f>
        <v>0.13347354689957594</v>
      </c>
      <c r="I25" t="s">
        <v>36</v>
      </c>
    </row>
    <row r="26" spans="1:15" x14ac:dyDescent="0.2">
      <c r="A26" t="s">
        <v>81</v>
      </c>
      <c r="B26">
        <f>E4+H4-H26</f>
        <v>-6.2046442373457014</v>
      </c>
      <c r="G26" s="4" t="s">
        <v>77</v>
      </c>
      <c r="H26">
        <f>H25*57.3</f>
        <v>7.6480342373457013</v>
      </c>
      <c r="I26" t="s">
        <v>24</v>
      </c>
    </row>
    <row r="27" spans="1:15" x14ac:dyDescent="0.2">
      <c r="A27" s="1" t="s">
        <v>82</v>
      </c>
      <c r="B27" s="9">
        <f>((B26/57.3)+(E23/H3))/(B1/57.3)</f>
        <v>0.49732426951731462</v>
      </c>
      <c r="C27" s="19" t="s">
        <v>84</v>
      </c>
      <c r="D27" s="19"/>
      <c r="E27" s="19"/>
      <c r="F27" s="19"/>
    </row>
    <row r="29" spans="1:15" ht="17" x14ac:dyDescent="0.25">
      <c r="A29" t="s">
        <v>83</v>
      </c>
      <c r="B29" s="10">
        <v>0.35</v>
      </c>
      <c r="F29" t="s">
        <v>139</v>
      </c>
      <c r="G29">
        <f>Aileron!B11*((H16-H17)/Aileron!B15)-(H3*H6*(Aileron!B8/Aileron!B7)*(B24/Aileron!B15)*(1-Elevator!H24))</f>
        <v>-1.5998434265261503</v>
      </c>
      <c r="H29" t="s">
        <v>86</v>
      </c>
      <c r="I29" s="5" t="s">
        <v>92</v>
      </c>
      <c r="J29">
        <f>E6-2</f>
        <v>12</v>
      </c>
      <c r="K29" t="s">
        <v>24</v>
      </c>
    </row>
    <row r="30" spans="1:15" ht="17" x14ac:dyDescent="0.25">
      <c r="A30" s="1" t="s">
        <v>85</v>
      </c>
      <c r="B30">
        <f>-1.15*B29*B1</f>
        <v>8.4524999999999988</v>
      </c>
      <c r="F30" t="s">
        <v>88</v>
      </c>
      <c r="G30">
        <f>0.5*1.225*(B6*0.514)^2</f>
        <v>3171.6729800000012</v>
      </c>
      <c r="H30" t="s">
        <v>89</v>
      </c>
      <c r="I30" s="5" t="s">
        <v>93</v>
      </c>
      <c r="J30" s="9">
        <f>(J29*(1-H24))+H4-H23</f>
        <v>5.6367577718858364E-2</v>
      </c>
      <c r="K30" t="s">
        <v>24</v>
      </c>
      <c r="L30" s="20" t="s">
        <v>177</v>
      </c>
      <c r="M30" s="17"/>
      <c r="N30" s="17"/>
      <c r="O30" s="17"/>
    </row>
    <row r="31" spans="1:15" ht="17" x14ac:dyDescent="0.25">
      <c r="A31" s="1" t="s">
        <v>134</v>
      </c>
      <c r="B31">
        <f>B24*Aileron!B8/(Aileron!B7*Aileron!B15)</f>
        <v>0.69860485291781294</v>
      </c>
      <c r="F31" t="s">
        <v>90</v>
      </c>
      <c r="G31">
        <f>2*Aileron!B5*9.81/(1.225*(B6*0.514)^2*Aileron!B7)</f>
        <v>0.34266933616527723</v>
      </c>
      <c r="I31" s="5" t="s">
        <v>94</v>
      </c>
      <c r="J31">
        <f>(H7-5.3)</f>
        <v>8.6999999999999993</v>
      </c>
      <c r="K31" t="s">
        <v>24</v>
      </c>
    </row>
    <row r="32" spans="1:15" ht="17" x14ac:dyDescent="0.25">
      <c r="A32" s="1" t="s">
        <v>135</v>
      </c>
      <c r="B32">
        <f>-H3*H6*B31*B40*B27</f>
        <v>-1.9539568616217966</v>
      </c>
      <c r="C32" t="s">
        <v>86</v>
      </c>
      <c r="F32" s="1" t="s">
        <v>138</v>
      </c>
      <c r="G32">
        <f>-(( ( B13*(B22-B23)/(G30*Aileron!B7*Aileron!B15)+Elevator!E8))*Aileron!B11 +(Elevator!G31-Elevator!B7)*Elevator!G29)/ ((Aileron!B11*Elevator!B32)-(Elevator!G29*Elevator!B33))</f>
        <v>-4.117124548166453E-2</v>
      </c>
      <c r="H32" t="s">
        <v>36</v>
      </c>
    </row>
    <row r="33" spans="1:26" ht="17" x14ac:dyDescent="0.25">
      <c r="A33" s="1" t="s">
        <v>136</v>
      </c>
      <c r="B33">
        <f>H3*H6*(Aileron!B8/Aileron!B7)*B40*B27</f>
        <v>0.74071508729084246</v>
      </c>
      <c r="C33" t="s">
        <v>86</v>
      </c>
      <c r="G33" s="9">
        <f>G32*57.3</f>
        <v>-2.3591123660993776</v>
      </c>
      <c r="H33" t="s">
        <v>24</v>
      </c>
    </row>
    <row r="34" spans="1:26" ht="17" x14ac:dyDescent="0.25">
      <c r="A34" s="1" t="s">
        <v>137</v>
      </c>
      <c r="B34">
        <f>H3*B27</f>
        <v>2.8540218750838009</v>
      </c>
      <c r="C34" t="s">
        <v>86</v>
      </c>
    </row>
    <row r="36" spans="1:26" ht="21" x14ac:dyDescent="0.25">
      <c r="H36" s="22"/>
      <c r="I36" s="17"/>
      <c r="J36" s="17"/>
      <c r="K36" s="17"/>
      <c r="L36" s="17"/>
      <c r="M36" s="17"/>
      <c r="N36" s="24" t="s">
        <v>148</v>
      </c>
      <c r="O36" s="17"/>
      <c r="P36" s="17"/>
      <c r="Q36" s="17"/>
      <c r="R36" s="17"/>
      <c r="S36" s="17"/>
      <c r="T36" s="17"/>
      <c r="U36" s="23"/>
      <c r="V36" s="23"/>
      <c r="W36" s="23"/>
      <c r="X36" s="25" t="s">
        <v>149</v>
      </c>
      <c r="Y36" s="23"/>
      <c r="Z36" s="23"/>
    </row>
    <row r="37" spans="1:26" ht="21" thickBot="1" x14ac:dyDescent="0.3">
      <c r="B37" s="30" t="s">
        <v>210</v>
      </c>
      <c r="C37" s="30"/>
      <c r="D37" s="30"/>
      <c r="H37" t="s">
        <v>55</v>
      </c>
      <c r="I37" t="s">
        <v>151</v>
      </c>
      <c r="J37" t="s">
        <v>144</v>
      </c>
      <c r="K37" t="s">
        <v>146</v>
      </c>
      <c r="L37" s="1" t="s">
        <v>160</v>
      </c>
      <c r="M37" s="1" t="s">
        <v>154</v>
      </c>
      <c r="N37" s="1" t="s">
        <v>155</v>
      </c>
      <c r="O37" s="16" t="s">
        <v>158</v>
      </c>
      <c r="P37" t="s">
        <v>156</v>
      </c>
      <c r="Q37" t="s">
        <v>157</v>
      </c>
      <c r="R37" t="s">
        <v>152</v>
      </c>
      <c r="S37" s="1" t="s">
        <v>150</v>
      </c>
      <c r="T37" s="16" t="s">
        <v>159</v>
      </c>
      <c r="U37" t="s">
        <v>147</v>
      </c>
      <c r="V37" t="s">
        <v>145</v>
      </c>
      <c r="W37" s="1" t="s">
        <v>160</v>
      </c>
      <c r="X37" s="16" t="s">
        <v>162</v>
      </c>
      <c r="Y37" s="1" t="s">
        <v>153</v>
      </c>
      <c r="Z37" s="1" t="s">
        <v>161</v>
      </c>
    </row>
    <row r="38" spans="1:26" ht="16" thickTop="1" x14ac:dyDescent="0.2">
      <c r="H38">
        <v>61</v>
      </c>
      <c r="I38">
        <f t="shared" ref="I38:I45" si="0">B$34</f>
        <v>2.8540218750838009</v>
      </c>
      <c r="J38">
        <f t="shared" ref="J38:J45" si="1">0.5*1.225*(H38*0.514)^2</f>
        <v>602.13240604999999</v>
      </c>
      <c r="K38">
        <f>(2*Aileron!B$5*9.81)/(1.225*Aileron!B$7*(Elevator!H38*0.514)^2)</f>
        <v>1.8049768849340058</v>
      </c>
      <c r="L38">
        <f>-(( (B$13 *(B$22-B$23)/(J38*Aileron!B$7*Aileron!B$15)+E$8))*Aileron!B$11 +(Elevator!K38-Elevator!B$7)*Elevator!G$29)/ ((Aileron!B$11*Elevator!B$32)-(Elevator!G$29*Elevator!B$33))</f>
        <v>-0.31707773713025555</v>
      </c>
      <c r="M38" s="15">
        <f t="shared" ref="M38:M45" si="2">L38*57.3</f>
        <v>-18.168554337563641</v>
      </c>
      <c r="N38">
        <f>-(( (B$13 *(B$22-B$23)/(J38*Aileron!B$7*Aileron!B$15)+E$8))*Aileron!B$11 +(Elevator!K38-Elevator!B$7)*R38)/ ((Aileron!B$11*Elevator!S38)-(R38*Elevator!B$33))</f>
        <v>-0.35518355786303418</v>
      </c>
      <c r="O38" s="15">
        <f>N38*57.3</f>
        <v>-20.352017865551858</v>
      </c>
      <c r="P38">
        <f>5.2414</f>
        <v>5.2413999999999996</v>
      </c>
      <c r="Q38">
        <f>P38*Aileron!B$8/(Aileron!B$7*Aileron!B$15)</f>
        <v>0.79213458686352511</v>
      </c>
      <c r="R38">
        <f>Aileron!B$11*((T38)/Aileron!B$15)-(H$3*H$6*(Aileron!B$8/Aileron!B$7)*(B$24/Aileron!B$15)*(1-Elevator!H$24))</f>
        <v>-2.0296392235132856</v>
      </c>
      <c r="S38">
        <f t="shared" ref="S38:S45" si="3">-H$3*H$6*Q38*B$40*B$27</f>
        <v>-2.2155540501405904</v>
      </c>
      <c r="T38">
        <v>0.14147199999999999</v>
      </c>
      <c r="U38">
        <f>(2*Aileron!B$5*9.81)/(0.90434*Aileron!B$7*(Elevator!H38*0.514)^2)</f>
        <v>2.444983837985887</v>
      </c>
      <c r="V38">
        <f t="shared" ref="V38:V45" si="4">0.5*0.90434*(H38*0.514)^2</f>
        <v>444.51626129572003</v>
      </c>
      <c r="W38">
        <f>-(( (B$13 *(B$22-B$23)/(V38*Aileron!B$7*Aileron!B$15)+E$8))*Aileron!B$11 +(U38-Elevator!B$7)*Elevator!G$29)/ ((Aileron!B$11*Elevator!B$32)-(Elevator!G$29*Elevator!B$33))</f>
        <v>-0.43783350645930824</v>
      </c>
      <c r="X38" s="15">
        <f>W38*57.3</f>
        <v>-25.087859920118362</v>
      </c>
      <c r="Y38">
        <f>-(( (B$13 *(B$22-B$23)/(V38*Aileron!B$7*Aileron!B$15)+E$8))*Aileron!B$11 +(U38-Elevator!B$7)*R38)/ ((Aileron!B$11*Elevator!S38)-(R38*Elevator!B$33))</f>
        <v>-0.4942038246438652</v>
      </c>
      <c r="Z38" s="15">
        <f>Y38*57.3</f>
        <v>-28.317879152093475</v>
      </c>
    </row>
    <row r="39" spans="1:26" x14ac:dyDescent="0.2">
      <c r="D39" t="s">
        <v>95</v>
      </c>
      <c r="E39">
        <f>SQRT(Aileron!B8*Aileron!B17)</f>
        <v>4.9095213615993156</v>
      </c>
      <c r="F39" t="s">
        <v>10</v>
      </c>
      <c r="H39">
        <v>65</v>
      </c>
      <c r="I39">
        <f t="shared" si="0"/>
        <v>2.8540218750838009</v>
      </c>
      <c r="J39">
        <f t="shared" si="1"/>
        <v>683.68971125000019</v>
      </c>
      <c r="K39">
        <f>(2*Aileron!B$5*9.81)/(1.225*Aileron!B$7*(Elevator!H39*0.514)^2)</f>
        <v>1.5896612991335939</v>
      </c>
      <c r="L39">
        <f>-(( (B$13 *(B$22-B$23)/(J39*Aileron!B$7*Aileron!B$15)+E$8))*Aileron!B$11 +(Elevator!K39-Elevator!B$7)*Elevator!G$29)/ ((Aileron!B$11*Elevator!B$32)-(Elevator!G$29*Elevator!B$33))</f>
        <v>-0.27645224222292647</v>
      </c>
      <c r="M39" s="15">
        <f t="shared" si="2"/>
        <v>-15.840713479373687</v>
      </c>
      <c r="N39">
        <f>-(( (B$13 *(B$22-B$23)/(J39*Aileron!B$7*Aileron!B$15)+E$8))*Aileron!B$11 +(Elevator!K39-Elevator!B$7)*R39)/ ((Aileron!B$11*Elevator!S39)-(R39*Elevator!B$33))</f>
        <v>-0.30841339382449179</v>
      </c>
      <c r="O39" s="15">
        <f t="shared" ref="O39:O45" si="5">N39*57.3</f>
        <v>-17.672087466143378</v>
      </c>
      <c r="P39">
        <f t="shared" ref="P39:P45" si="6">5.2414</f>
        <v>5.2413999999999996</v>
      </c>
      <c r="Q39">
        <f>P39*Aileron!B$8/(Aileron!B$7*Aileron!B$15)</f>
        <v>0.79213458686352511</v>
      </c>
      <c r="R39">
        <f>Aileron!B$11*((T39)/Aileron!B$15)-(H$3*H$6*(Aileron!B$8/Aileron!B$7)*(B$24/Aileron!B$15)*(1-Elevator!H$24))</f>
        <v>-2.0296392235132856</v>
      </c>
      <c r="S39">
        <f t="shared" si="3"/>
        <v>-2.2155540501405904</v>
      </c>
      <c r="T39">
        <v>0.14147199999999999</v>
      </c>
      <c r="U39">
        <f>(2*Aileron!B$5*9.81)/(0.90434*Aileron!B$7*(Elevator!H39*0.514)^2)</f>
        <v>2.1533218606261499</v>
      </c>
      <c r="V39">
        <f t="shared" si="4"/>
        <v>504.72485997700016</v>
      </c>
      <c r="W39">
        <f>-(( (B$13 *(B$22-B$23)/(V39*Aileron!B$7*Aileron!B$15)+E$8))*Aileron!B$11 +(U39-Elevator!B$7)*Elevator!G$29)/ ((Aileron!B$11*Elevator!B$32)-(Elevator!G$29*Elevator!B$33))</f>
        <v>-0.38280306297402822</v>
      </c>
      <c r="X39" s="15">
        <f t="shared" ref="X39:X45" si="7">W39*57.3</f>
        <v>-21.934615508411817</v>
      </c>
      <c r="Y39">
        <f>-(( (B$13 *(B$22-B$23)/(V39*Aileron!B$7*Aileron!B$15)+E$8))*Aileron!B$11 +(U39-Elevator!B$7)*R39)/ ((Aileron!B$11*Elevator!S39)-(R39*Elevator!B$33))</f>
        <v>-0.43084994120708875</v>
      </c>
      <c r="Z39" s="15">
        <f t="shared" ref="Z39:Z45" si="8">Y39*57.3</f>
        <v>-24.687701631166185</v>
      </c>
    </row>
    <row r="40" spans="1:26" x14ac:dyDescent="0.2">
      <c r="A40" s="4" t="s">
        <v>96</v>
      </c>
      <c r="B40" s="12">
        <v>1</v>
      </c>
      <c r="C40" t="s">
        <v>10</v>
      </c>
      <c r="H40">
        <v>70</v>
      </c>
      <c r="I40">
        <f t="shared" si="0"/>
        <v>2.8540218750838009</v>
      </c>
      <c r="J40">
        <f t="shared" si="1"/>
        <v>792.9182450000003</v>
      </c>
      <c r="K40">
        <f>(2*Aileron!B$5*9.81)/(1.225*Aileron!B$7*(Elevator!H40*0.514)^2)</f>
        <v>1.3706773446611089</v>
      </c>
      <c r="L40">
        <f>-(( (B$13 *(B$22-B$23)/(J40*Aileron!B$7*Aileron!B$15)+E$8))*Aileron!B$11 +(Elevator!K40-Elevator!B$7)*Elevator!G$29)/ ((Aileron!B$11*Elevator!B$32)-(Elevator!G$29*Elevator!B$33))</f>
        <v>-0.23513460377080239</v>
      </c>
      <c r="M40" s="15">
        <f t="shared" si="2"/>
        <v>-13.473212796066976</v>
      </c>
      <c r="N40">
        <f>-(( (B$13 *(B$22-B$23)/(J40*Aileron!B$7*Aileron!B$15)+E$8))*Aileron!B$11 +(Elevator!K40-Elevator!B$7)*R40)/ ((Aileron!B$11*Elevator!S40)-(R40*Elevator!B$33))</f>
        <v>-0.26084639845621116</v>
      </c>
      <c r="O40" s="15">
        <f t="shared" si="5"/>
        <v>-14.946498631540898</v>
      </c>
      <c r="P40">
        <f t="shared" si="6"/>
        <v>5.2413999999999996</v>
      </c>
      <c r="Q40">
        <f>P40*Aileron!B$8/(Aileron!B$7*Aileron!B$15)</f>
        <v>0.79213458686352511</v>
      </c>
      <c r="R40">
        <f>Aileron!B$11*((T40)/Aileron!B$15)-(H$3*H$6*(Aileron!B$8/Aileron!B$7)*(B$24/Aileron!B$15)*(1-Elevator!H$24))</f>
        <v>-2.0296392235132856</v>
      </c>
      <c r="S40">
        <f t="shared" si="3"/>
        <v>-2.2155540501405904</v>
      </c>
      <c r="T40">
        <v>0.14147199999999999</v>
      </c>
      <c r="U40">
        <f>(2*Aileron!B$5*9.81)/(0.90434*Aileron!B$7*(Elevator!H40*0.514)^2)</f>
        <v>1.8566907879888743</v>
      </c>
      <c r="V40">
        <f t="shared" si="4"/>
        <v>585.36137606800014</v>
      </c>
      <c r="W40">
        <f>-(( (B$13 *(B$22-B$23)/(V40*Aileron!B$7*Aileron!B$15)+E$8))*Aileron!B$11 +(U40-Elevator!B$7)*Elevator!G$29)/ ((Aileron!B$11*Elevator!B$32)-(Elevator!G$29*Elevator!B$33))</f>
        <v>-0.32683505635721161</v>
      </c>
      <c r="X40" s="15">
        <f t="shared" si="7"/>
        <v>-18.727648729268225</v>
      </c>
      <c r="Y40">
        <f>-(( (B$13 *(B$22-B$23)/(V40*Aileron!B$7*Aileron!B$15)+E$8))*Aileron!B$11 +(U40-Elevator!B$7)*R40)/ ((Aileron!B$11*Elevator!S40)-(R40*Elevator!B$33))</f>
        <v>-0.3664166867605933</v>
      </c>
      <c r="Z40" s="15">
        <f t="shared" si="8"/>
        <v>-20.995676151381996</v>
      </c>
    </row>
    <row r="41" spans="1:26" ht="17" x14ac:dyDescent="0.25">
      <c r="A41" s="4" t="s">
        <v>100</v>
      </c>
      <c r="B41">
        <f>B40*E39</f>
        <v>4.9095213615993156</v>
      </c>
      <c r="C41" t="s">
        <v>10</v>
      </c>
      <c r="D41" t="s">
        <v>97</v>
      </c>
      <c r="E41" s="26">
        <f>B29*B42</f>
        <v>0.45219275698941064</v>
      </c>
      <c r="F41" t="s">
        <v>10</v>
      </c>
      <c r="H41">
        <v>80</v>
      </c>
      <c r="I41">
        <f t="shared" si="0"/>
        <v>2.8540218750838009</v>
      </c>
      <c r="J41">
        <f t="shared" si="1"/>
        <v>1035.6483200000002</v>
      </c>
      <c r="K41">
        <f>(2*Aileron!B$5*9.81)/(1.225*Aileron!B$7*(Elevator!H41*0.514)^2)</f>
        <v>1.0494248420061616</v>
      </c>
      <c r="L41">
        <f>-(( (B$13 *(B$22-B$23)/(J41*Aileron!B$7*Aileron!B$15)+E$8))*Aileron!B$11 +(Elevator!K41-Elevator!B$7)*Elevator!G$29)/ ((Aileron!B$11*Elevator!B$32)-(Elevator!G$29*Elevator!B$33))</f>
        <v>-0.17452105430544687</v>
      </c>
      <c r="M41" s="15">
        <f t="shared" si="2"/>
        <v>-10.000056411702106</v>
      </c>
      <c r="N41">
        <f>-(( (B$13 *(B$22-B$23)/(J41*Aileron!B$7*Aileron!B$15)+E$8))*Aileron!B$11 +(Elevator!K41-Elevator!B$7)*R41)/ ((Aileron!B$11*Elevator!S41)-(R41*Elevator!B$33))</f>
        <v>-0.19106495559823017</v>
      </c>
      <c r="O41" s="15">
        <f t="shared" si="5"/>
        <v>-10.948021955778588</v>
      </c>
      <c r="P41">
        <f t="shared" si="6"/>
        <v>5.2413999999999996</v>
      </c>
      <c r="Q41">
        <f>P41*Aileron!B$8/(Aileron!B$7*Aileron!B$15)</f>
        <v>0.79213458686352511</v>
      </c>
      <c r="R41">
        <f>Aileron!B$11*((T41)/Aileron!B$15)-(H$3*H$6*(Aileron!B$8/Aileron!B$7)*(B$24/Aileron!B$15)*(1-Elevator!H$24))</f>
        <v>-2.0296392235132856</v>
      </c>
      <c r="S41">
        <f t="shared" si="3"/>
        <v>-2.2155540501405904</v>
      </c>
      <c r="T41">
        <v>0.14147199999999999</v>
      </c>
      <c r="U41">
        <f>(2*Aileron!B$5*9.81)/(0.90434*Aileron!B$7*(Elevator!H41*0.514)^2)</f>
        <v>1.421528884553982</v>
      </c>
      <c r="V41">
        <f t="shared" si="4"/>
        <v>764.55363404800016</v>
      </c>
      <c r="W41">
        <f>-(( (B$13 *(B$22-B$23)/(V41*Aileron!B$7*Aileron!B$15)+E$8))*Aileron!B$11 +(U41-Elevator!B$7)*Elevator!G$29)/ ((Aileron!B$11*Elevator!B$32)-(Elevator!G$29*Elevator!B$33))</f>
        <v>-0.24472921331691641</v>
      </c>
      <c r="X41" s="15">
        <f t="shared" si="7"/>
        <v>-14.022983923059309</v>
      </c>
      <c r="Y41">
        <f>-(( (B$13 *(B$22-B$23)/(V41*Aileron!B$7*Aileron!B$15)+E$8))*Aileron!B$11 +(U41-Elevator!B$7)*R41)/ ((Aileron!B$11*Elevator!S41)-(R41*Elevator!B$33))</f>
        <v>-0.27189220758127269</v>
      </c>
      <c r="Z41" s="15">
        <f t="shared" si="8"/>
        <v>-15.579423494406925</v>
      </c>
    </row>
    <row r="42" spans="1:26" ht="17" x14ac:dyDescent="0.25">
      <c r="A42" s="4" t="s">
        <v>99</v>
      </c>
      <c r="B42">
        <f>Aileron!B8/Elevator!E39</f>
        <v>1.2919793056840305</v>
      </c>
      <c r="H42">
        <v>100</v>
      </c>
      <c r="I42">
        <f t="shared" si="0"/>
        <v>2.8540218750838009</v>
      </c>
      <c r="J42">
        <f t="shared" si="1"/>
        <v>1618.2005000000001</v>
      </c>
      <c r="K42">
        <f>(2*Aileron!B$5*9.81)/(1.225*Aileron!B$7*(Elevator!H42*0.514)^2)</f>
        <v>0.67163189888394359</v>
      </c>
      <c r="L42">
        <f>-(( (B$13 *(B$22-B$23)/(J42*Aileron!B$7*Aileron!B$15)+E$8))*Aileron!B$11 +(Elevator!K42-Elevator!B$7)*Elevator!G$29)/ ((Aileron!B$11*Elevator!B$32)-(Elevator!G$29*Elevator!B$33))</f>
        <v>-0.1032395201341887</v>
      </c>
      <c r="M42" s="15">
        <f t="shared" si="2"/>
        <v>-5.9156245036890125</v>
      </c>
      <c r="N42">
        <f>-(( (B$13 *(B$22-B$23)/(J42*Aileron!B$7*Aileron!B$15)+E$8))*Aileron!B$11 +(Elevator!K42-Elevator!B$7)*R42)/ ((Aileron!B$11*Elevator!S42)-(R42*Elevator!B$33))</f>
        <v>-0.10900197879724448</v>
      </c>
      <c r="O42" s="15">
        <f t="shared" si="5"/>
        <v>-6.2458133850821085</v>
      </c>
      <c r="P42">
        <f t="shared" si="6"/>
        <v>5.2413999999999996</v>
      </c>
      <c r="Q42">
        <f>P42*Aileron!B$8/(Aileron!B$7*Aileron!B$15)</f>
        <v>0.79213458686352511</v>
      </c>
      <c r="R42">
        <f>Aileron!B$11*((T42)/Aileron!B$15)-(H$3*H$6*(Aileron!B$8/Aileron!B$7)*(B$24/Aileron!B$15)*(1-Elevator!H$24))</f>
        <v>-2.0296392235132856</v>
      </c>
      <c r="S42">
        <f t="shared" si="3"/>
        <v>-2.2155540501405904</v>
      </c>
      <c r="T42">
        <v>0.14147199999999999</v>
      </c>
      <c r="U42">
        <f>(2*Aileron!B$5*9.81)/(0.90434*Aileron!B$7*(Elevator!H42*0.514)^2)</f>
        <v>0.90977848611454859</v>
      </c>
      <c r="V42">
        <f t="shared" si="4"/>
        <v>1194.6150532000001</v>
      </c>
      <c r="W42">
        <f>-(( (B$13 *(B$22-B$23)/(V42*Aileron!B$7*Aileron!B$15)+E$8))*Aileron!B$11 +(U42-Elevator!B$7)*Elevator!G$29)/ ((Aileron!B$11*Elevator!B$32)-(Elevator!G$29*Elevator!B$33))</f>
        <v>-0.14817274190152921</v>
      </c>
      <c r="X42" s="15">
        <f t="shared" si="7"/>
        <v>-8.4902981109576228</v>
      </c>
      <c r="Y42">
        <f>-(( (B$13 *(B$22-B$23)/(V42*Aileron!B$7*Aileron!B$15)+E$8))*Aileron!B$11 +(U42-Elevator!B$7)*R42)/ ((Aileron!B$11*Elevator!S42)-(R42*Elevator!B$33))</f>
        <v>-0.16073142006639171</v>
      </c>
      <c r="Z42" s="15">
        <f t="shared" si="8"/>
        <v>-9.2099103698042448</v>
      </c>
    </row>
    <row r="43" spans="1:26" ht="18" x14ac:dyDescent="0.25">
      <c r="A43" s="4" t="s">
        <v>98</v>
      </c>
      <c r="B43" s="26">
        <f>B41*E41</f>
        <v>2.2200499999999996</v>
      </c>
      <c r="C43" t="s">
        <v>46</v>
      </c>
      <c r="H43">
        <v>120</v>
      </c>
      <c r="I43">
        <f t="shared" si="0"/>
        <v>2.8540218750838009</v>
      </c>
      <c r="J43">
        <f t="shared" si="1"/>
        <v>2330.2087200000001</v>
      </c>
      <c r="K43">
        <f>(2*Aileron!B$5*9.81)/(1.225*Aileron!B$7*(Elevator!H43*0.514)^2)</f>
        <v>0.46641104089162749</v>
      </c>
      <c r="L43">
        <f>-(( (B$13 *(B$22-B$23)/(J43*Aileron!B$7*Aileron!B$15)+E$8))*Aileron!B$11 +(Elevator!K43-Elevator!B$7)*Elevator!G$29)/ ((Aileron!B$11*Elevator!B$32)-(Elevator!G$29*Elevator!B$33))</f>
        <v>-6.451868675720894E-2</v>
      </c>
      <c r="M43" s="15">
        <f t="shared" si="2"/>
        <v>-3.6969207511880722</v>
      </c>
      <c r="N43">
        <f>-(( (B$13 *(B$22-B$23)/(J43*Aileron!B$7*Aileron!B$15)+E$8))*Aileron!B$11 +(Elevator!K43-Elevator!B$7)*R43)/ ((Aileron!B$11*Elevator!S43)-(R43*Elevator!B$33))</f>
        <v>-6.4424559300412729E-2</v>
      </c>
      <c r="O43" s="15">
        <f t="shared" si="5"/>
        <v>-3.6915272479136494</v>
      </c>
      <c r="P43">
        <f t="shared" si="6"/>
        <v>5.2413999999999996</v>
      </c>
      <c r="Q43">
        <f>P43*Aileron!B$8/(Aileron!B$7*Aileron!B$15)</f>
        <v>0.79213458686352511</v>
      </c>
      <c r="R43">
        <f>Aileron!B$11*((T43)/Aileron!B$15)-(H$3*H$6*(Aileron!B$8/Aileron!B$7)*(B$24/Aileron!B$15)*(1-Elevator!H$24))</f>
        <v>-2.0296392235132856</v>
      </c>
      <c r="S43">
        <f t="shared" si="3"/>
        <v>-2.2155540501405904</v>
      </c>
      <c r="T43">
        <v>0.14147199999999999</v>
      </c>
      <c r="U43">
        <f>(2*Aileron!B$5*9.81)/(0.90434*Aileron!B$7*(Elevator!H43*0.514)^2)</f>
        <v>0.6317906153573255</v>
      </c>
      <c r="V43">
        <f t="shared" si="4"/>
        <v>1720.2456766079999</v>
      </c>
      <c r="W43">
        <f>-(( (B$13 *(B$22-B$23)/(V43*Aileron!B$7*Aileron!B$15)+E$8))*Aileron!B$11 +(U43-Elevator!B$7)*Elevator!G$29)/ ((Aileron!B$11*Elevator!B$32)-(Elevator!G$29*Elevator!B$33))</f>
        <v>-9.572231298452874E-2</v>
      </c>
      <c r="X43" s="15">
        <f t="shared" si="7"/>
        <v>-5.4848885340134963</v>
      </c>
      <c r="Y43">
        <f>-(( (B$13 *(B$22-B$23)/(V43*Aileron!B$7*Aileron!B$15)+E$8))*Aileron!B$11 +(U43-Elevator!B$7)*R43)/ ((Aileron!B$11*Elevator!S43)-(R43*Elevator!B$33))</f>
        <v>-0.10034778240398719</v>
      </c>
      <c r="Z43" s="15">
        <f t="shared" si="8"/>
        <v>-5.7499279317484655</v>
      </c>
    </row>
    <row r="44" spans="1:26" x14ac:dyDescent="0.2">
      <c r="H44">
        <v>140</v>
      </c>
      <c r="I44">
        <f t="shared" si="0"/>
        <v>2.8540218750838009</v>
      </c>
      <c r="J44">
        <f t="shared" si="1"/>
        <v>3171.6729800000012</v>
      </c>
      <c r="K44">
        <f>(2*Aileron!B$5*9.81)/(1.225*Aileron!B$7*(Elevator!H44*0.514)^2)</f>
        <v>0.34266933616527723</v>
      </c>
      <c r="L44">
        <f>-(( (B$13 *(B$22-B$23)/(J44*Aileron!B$7*Aileron!B$15)+E$8))*Aileron!B$11 +(Elevator!K44-Elevator!B$7)*Elevator!G$29)/ ((Aileron!B$11*Elevator!B$32)-(Elevator!G$29*Elevator!B$33))</f>
        <v>-4.117124548166453E-2</v>
      </c>
      <c r="M44" s="15">
        <f t="shared" si="2"/>
        <v>-2.3591123660993776</v>
      </c>
      <c r="N44">
        <f>-(( (B$13 *(B$22-B$23)/(J44*Aileron!B$7*Aileron!B$15)+E$8))*Aileron!B$11 +(Elevator!K44-Elevator!B$7)*R44)/ ((Aileron!B$11*Elevator!S44)-(R44*Elevator!B$33))</f>
        <v>-3.7545781310671836E-2</v>
      </c>
      <c r="O44" s="15">
        <f t="shared" si="5"/>
        <v>-2.1513732691014962</v>
      </c>
      <c r="P44">
        <f t="shared" si="6"/>
        <v>5.2413999999999996</v>
      </c>
      <c r="Q44">
        <f>P44*Aileron!B$8/(Aileron!B$7*Aileron!B$15)</f>
        <v>0.79213458686352511</v>
      </c>
      <c r="R44">
        <f>Aileron!B$11*((T44)/Aileron!B$15)-(H$3*H$6*(Aileron!B$8/Aileron!B$7)*(B$24/Aileron!B$15)*(1-Elevator!H$24))</f>
        <v>-2.0296392235132856</v>
      </c>
      <c r="S44">
        <f t="shared" si="3"/>
        <v>-2.2155540501405904</v>
      </c>
      <c r="T44">
        <v>0.14147199999999999</v>
      </c>
      <c r="U44">
        <f>(2*Aileron!B$5*9.81)/(0.90434*Aileron!B$7*(Elevator!H44*0.514)^2)</f>
        <v>0.46417269699721858</v>
      </c>
      <c r="V44">
        <f t="shared" si="4"/>
        <v>2341.4455042720006</v>
      </c>
      <c r="W44">
        <f>-(( (B$13 *(B$22-B$23)/(V44*Aileron!B$7*Aileron!B$15)+E$8))*Aileron!B$11 +(U44-Elevator!B$7)*Elevator!G$29)/ ((Aileron!B$11*Elevator!B$32)-(Elevator!G$29*Elevator!B$33))</f>
        <v>-6.4096358628266834E-2</v>
      </c>
      <c r="X44" s="15">
        <f t="shared" si="7"/>
        <v>-3.6727213493996893</v>
      </c>
      <c r="Y44">
        <f>-(( (B$13 *(B$22-B$23)/(V44*Aileron!B$7*Aileron!B$15)+E$8))*Aileron!B$11 +(U44-Elevator!B$7)*R44)/ ((Aileron!B$11*Elevator!S44)-(R44*Elevator!B$33))</f>
        <v>-6.3938353386767358E-2</v>
      </c>
      <c r="Z44" s="15">
        <f t="shared" si="8"/>
        <v>-3.6636676490617694</v>
      </c>
    </row>
    <row r="45" spans="1:26" x14ac:dyDescent="0.2">
      <c r="H45">
        <v>170</v>
      </c>
      <c r="I45">
        <f t="shared" si="0"/>
        <v>2.8540218750838009</v>
      </c>
      <c r="J45">
        <f t="shared" si="1"/>
        <v>4676.5994449999998</v>
      </c>
      <c r="K45">
        <f>(2*Aileron!B$5*9.81)/(1.225*Aileron!B$7*(Elevator!H45*0.514)^2)</f>
        <v>0.23239858092870022</v>
      </c>
      <c r="L45">
        <f>-(( (B$13 *(B$22-B$23)/(J45*Aileron!B$7*Aileron!B$15)+E$8))*Aileron!B$11 +(Elevator!K45-Elevator!B$7)*Elevator!G$29)/ ((Aileron!B$11*Elevator!B$32)-(Elevator!G$29*Elevator!B$33))</f>
        <v>-2.0365487326082295E-2</v>
      </c>
      <c r="M45" s="15">
        <f t="shared" si="2"/>
        <v>-1.1669424237845154</v>
      </c>
      <c r="N45">
        <f>-(( (B$13 *(B$22-B$23)/(J45*Aileron!B$7*Aileron!B$15)+E$8))*Aileron!B$11 +(Elevator!K45-Elevator!B$7)*R45)/ ((Aileron!B$11*Elevator!S45)-(R45*Elevator!B$33))</f>
        <v>-1.3593119955960032E-2</v>
      </c>
      <c r="O45" s="15">
        <f t="shared" si="5"/>
        <v>-0.77888577347650978</v>
      </c>
      <c r="P45">
        <f t="shared" si="6"/>
        <v>5.2413999999999996</v>
      </c>
      <c r="Q45">
        <f>P45*Aileron!B$8/(Aileron!B$7*Aileron!B$15)</f>
        <v>0.79213458686352511</v>
      </c>
      <c r="R45">
        <f>Aileron!B$11*((T45)/Aileron!B$15)-(H$3*H$6*(Aileron!B$8/Aileron!B$7)*(B$24/Aileron!B$15)*(1-Elevator!H$24))</f>
        <v>-2.0296392235132856</v>
      </c>
      <c r="S45">
        <f t="shared" si="3"/>
        <v>-2.2155540501405904</v>
      </c>
      <c r="T45">
        <v>0.14147199999999999</v>
      </c>
      <c r="U45">
        <f>(2*Aileron!B$5*9.81)/(0.90434*Aileron!B$7*(Elevator!H45*0.514)^2)</f>
        <v>0.31480224433029369</v>
      </c>
      <c r="V45">
        <f t="shared" si="4"/>
        <v>3452.4375037479999</v>
      </c>
      <c r="W45">
        <f>-(( (B$13 *(B$22-B$23)/(V45*Aileron!B$7*Aileron!B$15)+E$8))*Aileron!B$11 +(U45-Elevator!B$7)*Elevator!G$29)/ ((Aileron!B$11*Elevator!B$32)-(Elevator!G$29*Elevator!B$33))</f>
        <v>-3.5913314927238184E-2</v>
      </c>
      <c r="X45" s="15">
        <f t="shared" si="7"/>
        <v>-2.0578329453307478</v>
      </c>
      <c r="Y45">
        <f>-(( (B$13 *(B$22-B$23)/(V45*Aileron!B$7*Aileron!B$15)+E$8))*Aileron!B$11 +(U45-Elevator!B$7)*R45)/ ((Aileron!B$11*Elevator!S45)-(R45*Elevator!B$33))</f>
        <v>-3.149258060272378E-2</v>
      </c>
      <c r="Z45" s="15">
        <f t="shared" si="8"/>
        <v>-1.8045248685360724</v>
      </c>
    </row>
  </sheetData>
  <mergeCells count="1">
    <mergeCell ref="B37:D37"/>
  </mergeCells>
  <pageMargins left="0.7" right="0.7" top="0.75" bottom="0.75" header="0.3" footer="0.3"/>
  <pageSetup orientation="portrait" r:id="rId1"/>
  <drawing r:id="rId2"/>
  <legacyDrawing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O40"/>
  <sheetViews>
    <sheetView zoomScale="90" zoomScaleNormal="90" workbookViewId="0">
      <selection activeCell="M14" sqref="M14"/>
    </sheetView>
  </sheetViews>
  <sheetFormatPr baseColWidth="10" defaultColWidth="8.83203125" defaultRowHeight="15" x14ac:dyDescent="0.2"/>
  <cols>
    <col min="4" max="4" width="9.6640625" customWidth="1"/>
  </cols>
  <sheetData>
    <row r="2" spans="1:15" ht="18" x14ac:dyDescent="0.25">
      <c r="A2" t="s">
        <v>5</v>
      </c>
      <c r="B2" s="10">
        <v>3.9496000000000002</v>
      </c>
      <c r="C2" t="s">
        <v>46</v>
      </c>
      <c r="D2" t="s">
        <v>163</v>
      </c>
      <c r="E2" s="10">
        <v>20</v>
      </c>
      <c r="F2" t="s">
        <v>106</v>
      </c>
      <c r="G2" t="s">
        <v>123</v>
      </c>
      <c r="H2">
        <f>0.8*Aileron!D10</f>
        <v>25.083200000000001</v>
      </c>
      <c r="I2" t="s">
        <v>8</v>
      </c>
      <c r="K2" s="31" t="s">
        <v>213</v>
      </c>
      <c r="L2" s="31"/>
      <c r="M2" s="31"/>
      <c r="N2" s="31"/>
    </row>
    <row r="3" spans="1:15" ht="17" x14ac:dyDescent="0.25">
      <c r="A3" t="s">
        <v>109</v>
      </c>
      <c r="B3">
        <f>SQRT(B2*K3)</f>
        <v>2.3514761321348767</v>
      </c>
      <c r="D3" t="s">
        <v>167</v>
      </c>
      <c r="E3" s="17">
        <f>4.6-(0.17*1.7684)</f>
        <v>4.299372</v>
      </c>
      <c r="F3" t="s">
        <v>10</v>
      </c>
      <c r="G3" t="s">
        <v>124</v>
      </c>
      <c r="H3" s="10">
        <v>4.122522</v>
      </c>
      <c r="I3" t="s">
        <v>10</v>
      </c>
      <c r="J3" t="s">
        <v>199</v>
      </c>
      <c r="K3">
        <v>1.4</v>
      </c>
      <c r="M3" t="s">
        <v>212</v>
      </c>
      <c r="N3" s="10">
        <v>0.10100000000000001</v>
      </c>
      <c r="O3" t="s">
        <v>211</v>
      </c>
    </row>
    <row r="4" spans="1:15" ht="17" x14ac:dyDescent="0.25">
      <c r="A4" t="s">
        <v>101</v>
      </c>
      <c r="B4">
        <f>N4/(1+(N4/(3.142*K3)))</f>
        <v>2.4992072765827937</v>
      </c>
      <c r="C4" t="s">
        <v>86</v>
      </c>
      <c r="D4" t="s">
        <v>165</v>
      </c>
      <c r="E4">
        <f>1.1*Aileron!D10</f>
        <v>34.489400000000003</v>
      </c>
      <c r="F4" t="s">
        <v>8</v>
      </c>
      <c r="J4" s="1" t="s">
        <v>198</v>
      </c>
      <c r="K4">
        <v>20</v>
      </c>
      <c r="L4" t="s">
        <v>24</v>
      </c>
      <c r="M4" s="4" t="s">
        <v>77</v>
      </c>
      <c r="N4">
        <f>N3*57.3</f>
        <v>5.7873000000000001</v>
      </c>
      <c r="O4" t="s">
        <v>86</v>
      </c>
    </row>
    <row r="5" spans="1:15" ht="17" x14ac:dyDescent="0.25">
      <c r="A5" s="1" t="s">
        <v>102</v>
      </c>
      <c r="B5" s="10">
        <v>0.97</v>
      </c>
      <c r="D5" t="s">
        <v>166</v>
      </c>
      <c r="E5">
        <f>SQRT(E4^2+(E2*0.514)^2)</f>
        <v>35.988847055164193</v>
      </c>
      <c r="F5" t="s">
        <v>8</v>
      </c>
      <c r="J5" t="s">
        <v>200</v>
      </c>
      <c r="K5">
        <v>0.09</v>
      </c>
    </row>
    <row r="6" spans="1:15" ht="17" x14ac:dyDescent="0.25">
      <c r="A6" s="1" t="s">
        <v>103</v>
      </c>
      <c r="B6" s="10">
        <v>0</v>
      </c>
      <c r="J6" t="s">
        <v>207</v>
      </c>
      <c r="K6">
        <f>B2/B3</f>
        <v>1.6796258086677691</v>
      </c>
    </row>
    <row r="7" spans="1:15" ht="17" x14ac:dyDescent="0.25">
      <c r="A7" s="1" t="s">
        <v>104</v>
      </c>
      <c r="B7" s="10">
        <v>0</v>
      </c>
      <c r="D7" t="s">
        <v>111</v>
      </c>
      <c r="E7">
        <f>((B9*B12) + (B2*B13))/(B9+Rudder!B2)</f>
        <v>5.6222312025699797</v>
      </c>
      <c r="F7" t="s">
        <v>10</v>
      </c>
      <c r="J7" t="s">
        <v>208</v>
      </c>
      <c r="K7">
        <f>((3/2)*K6)/ ((1+K8+K8^2)/(1+K8))</f>
        <v>1.8118412513325792</v>
      </c>
    </row>
    <row r="8" spans="1:15" ht="18" x14ac:dyDescent="0.25">
      <c r="A8" s="1" t="s">
        <v>105</v>
      </c>
      <c r="B8" s="10">
        <v>0</v>
      </c>
      <c r="C8" t="s">
        <v>46</v>
      </c>
      <c r="D8" t="s">
        <v>114</v>
      </c>
      <c r="E8" s="17">
        <f>E7-(2.6+0.4*1.7684)</f>
        <v>2.3148712025699796</v>
      </c>
      <c r="F8" t="s">
        <v>10</v>
      </c>
      <c r="J8" s="1" t="s">
        <v>209</v>
      </c>
      <c r="K8">
        <v>0.85</v>
      </c>
    </row>
    <row r="9" spans="1:15" ht="18" x14ac:dyDescent="0.25">
      <c r="A9" s="1" t="s">
        <v>107</v>
      </c>
      <c r="B9" s="10">
        <v>9.7170000000000005</v>
      </c>
      <c r="C9" t="s">
        <v>46</v>
      </c>
      <c r="D9" t="s">
        <v>169</v>
      </c>
      <c r="E9">
        <f>0.5*1.225*(E2*0.514)^2*B10*E10</f>
        <v>721.84335783571225</v>
      </c>
      <c r="F9" t="s">
        <v>70</v>
      </c>
    </row>
    <row r="10" spans="1:15" ht="17" x14ac:dyDescent="0.25">
      <c r="A10" s="1" t="s">
        <v>108</v>
      </c>
      <c r="B10">
        <f>1.02*(B9+B2)</f>
        <v>13.939932000000001</v>
      </c>
      <c r="D10" t="s">
        <v>168</v>
      </c>
      <c r="E10">
        <v>0.8</v>
      </c>
    </row>
    <row r="11" spans="1:15" ht="17" x14ac:dyDescent="0.25">
      <c r="A11" s="1" t="s">
        <v>110</v>
      </c>
      <c r="B11">
        <f>B2/B3</f>
        <v>1.6796258086677691</v>
      </c>
      <c r="C11" t="s">
        <v>10</v>
      </c>
      <c r="D11" t="s">
        <v>127</v>
      </c>
      <c r="E11" s="10">
        <v>1</v>
      </c>
      <c r="F11" s="4" t="s">
        <v>131</v>
      </c>
      <c r="G11" s="10">
        <f>0.3</f>
        <v>0.3</v>
      </c>
    </row>
    <row r="12" spans="1:15" x14ac:dyDescent="0.2">
      <c r="A12" s="1" t="s">
        <v>112</v>
      </c>
      <c r="B12">
        <f>Elevator!B4/2</f>
        <v>4.55</v>
      </c>
      <c r="C12" t="s">
        <v>10</v>
      </c>
      <c r="D12" s="1" t="s">
        <v>119</v>
      </c>
      <c r="E12" s="10">
        <v>0.51</v>
      </c>
      <c r="F12" s="23" t="s">
        <v>17</v>
      </c>
      <c r="G12" s="23"/>
      <c r="H12" s="23"/>
      <c r="I12" s="23"/>
    </row>
    <row r="13" spans="1:15" x14ac:dyDescent="0.2">
      <c r="A13" s="1" t="s">
        <v>113</v>
      </c>
      <c r="B13">
        <f>Elevator!B4-B11+(B11/2)</f>
        <v>8.2601870956661152</v>
      </c>
      <c r="C13" t="s">
        <v>10</v>
      </c>
      <c r="D13" s="1" t="s">
        <v>115</v>
      </c>
      <c r="E13">
        <f>((ATAN((E2*0.514/E4))))</f>
        <v>0.28967841057975718</v>
      </c>
      <c r="F13" t="s">
        <v>36</v>
      </c>
    </row>
    <row r="14" spans="1:15" x14ac:dyDescent="0.2">
      <c r="A14" s="1" t="s">
        <v>164</v>
      </c>
      <c r="B14" s="10">
        <f>B2*E3/(Aileron!B13*Aileron!B7)</f>
        <v>5.1870507334625074E-2</v>
      </c>
      <c r="D14" s="5" t="s">
        <v>77</v>
      </c>
      <c r="E14">
        <f>E13*57.3</f>
        <v>16.598572926220086</v>
      </c>
      <c r="F14" t="s">
        <v>24</v>
      </c>
    </row>
    <row r="15" spans="1:15" ht="17" x14ac:dyDescent="0.25">
      <c r="D15" s="1" t="s">
        <v>117</v>
      </c>
      <c r="E15" s="10">
        <v>0.75</v>
      </c>
      <c r="F15" s="5" t="s">
        <v>117</v>
      </c>
      <c r="G15" s="10">
        <v>1.35</v>
      </c>
    </row>
    <row r="16" spans="1:15" ht="17" x14ac:dyDescent="0.25">
      <c r="A16" t="s">
        <v>120</v>
      </c>
      <c r="B16">
        <f>B4*B5*E12*E11*B2/Aileron!B7</f>
        <v>0.20387802006379954</v>
      </c>
      <c r="C16" t="s">
        <v>86</v>
      </c>
      <c r="D16" t="s">
        <v>116</v>
      </c>
      <c r="E16">
        <f>E15*B4*(1-B6)*B5*E3*B2/(Aileron!B7*Aileron!B13)</f>
        <v>9.4309571167210546E-2</v>
      </c>
      <c r="F16" t="s">
        <v>86</v>
      </c>
    </row>
    <row r="17" spans="1:13" ht="17" x14ac:dyDescent="0.25">
      <c r="A17" t="s">
        <v>121</v>
      </c>
      <c r="B17">
        <f>-B4*B14*B5*E12*E11</f>
        <v>-6.4130508393703184E-2</v>
      </c>
      <c r="C17" t="s">
        <v>86</v>
      </c>
      <c r="D17" t="s">
        <v>118</v>
      </c>
      <c r="E17">
        <f>-G15*B4*(1-B6)*B5*B2/Aileron!B7</f>
        <v>-0.53967711193358714</v>
      </c>
      <c r="F17" t="s">
        <v>86</v>
      </c>
    </row>
    <row r="19" spans="1:13" ht="17" x14ac:dyDescent="0.25">
      <c r="A19" s="15" t="s">
        <v>171</v>
      </c>
      <c r="B19" s="15" t="s">
        <v>24</v>
      </c>
      <c r="C19" s="15" t="s">
        <v>73</v>
      </c>
      <c r="D19" s="15" t="s">
        <v>9</v>
      </c>
      <c r="E19" s="15" t="s">
        <v>122</v>
      </c>
      <c r="F19" s="18" t="s">
        <v>172</v>
      </c>
      <c r="G19" s="18" t="s">
        <v>24</v>
      </c>
    </row>
    <row r="20" spans="1:13" x14ac:dyDescent="0.2">
      <c r="A20">
        <f>(E$9/(0.5*1.225*E$5^2*Aileron!B$7*Rudder!B$16))-((Rudder!E$17*Rudder!E$13)/Rudder!B$16)+((Rudder!E$17*Rudder!F20)/Rudder!B$16)</f>
        <v>2.2766641797327685</v>
      </c>
      <c r="B20" s="8">
        <f>A20*57.3</f>
        <v>130.45285749868762</v>
      </c>
      <c r="C20">
        <f>0.5*1.225*E$5^2*Aileron!B$7*Aileron!B$13</f>
        <v>259704.57645223284</v>
      </c>
      <c r="D20">
        <f t="shared" ref="D20:D26" si="0">C20*(B$7+E$16*(E$13-F20)+(B$17*A20))</f>
        <v>-18576.512277985756</v>
      </c>
      <c r="E20">
        <f t="shared" ref="E20:E26" si="1">D20+(E$9*E$8*COS(F20))</f>
        <v>-17110.094281583057</v>
      </c>
      <c r="F20" s="10">
        <v>-0.5</v>
      </c>
      <c r="G20">
        <f t="shared" ref="G20:G26" si="2">F20*57.3</f>
        <v>-28.65</v>
      </c>
    </row>
    <row r="21" spans="1:13" x14ac:dyDescent="0.2">
      <c r="A21">
        <f>(E$9/(0.5*1.225*E$5^2*Aileron!B$7*Rudder!B$16))-((Rudder!E$17*Rudder!E$13)/Rudder!B$16)+((Rudder!E$17*Rudder!F21)/Rudder!B$16)</f>
        <v>1.4825465326739451</v>
      </c>
      <c r="B21" s="8">
        <f t="shared" ref="B21:B24" si="3">A21*57.3</f>
        <v>84.949916322217049</v>
      </c>
      <c r="C21">
        <f>0.5*1.225*E$5^2*Aileron!B$7*Aileron!B$13</f>
        <v>259704.57645223284</v>
      </c>
      <c r="D21">
        <f t="shared" si="0"/>
        <v>-12698.281741496448</v>
      </c>
      <c r="E21">
        <f t="shared" si="1"/>
        <v>-11060.615577844104</v>
      </c>
      <c r="F21" s="10">
        <v>-0.2</v>
      </c>
      <c r="G21">
        <f t="shared" si="2"/>
        <v>-11.46</v>
      </c>
    </row>
    <row r="22" spans="1:13" x14ac:dyDescent="0.2">
      <c r="A22">
        <f>(E$9/(0.5*1.225*E$5^2*Aileron!B$7*Rudder!B$16))-((Rudder!E$17*Rudder!E$13)/Rudder!B$16)+((Rudder!E$17*Rudder!F22)/Rudder!B$16)</f>
        <v>1.217840650321004</v>
      </c>
      <c r="B22" s="8">
        <f t="shared" si="3"/>
        <v>69.78226926339353</v>
      </c>
      <c r="C22">
        <f>0.5*1.225*E$5^2*Aileron!B$7*Aileron!B$13</f>
        <v>259704.57645223284</v>
      </c>
      <c r="D22">
        <f t="shared" si="0"/>
        <v>-10738.871562666678</v>
      </c>
      <c r="E22">
        <f t="shared" si="1"/>
        <v>-9076.2450727825144</v>
      </c>
      <c r="F22" s="10">
        <v>-0.1</v>
      </c>
      <c r="G22">
        <f t="shared" si="2"/>
        <v>-5.73</v>
      </c>
    </row>
    <row r="23" spans="1:13" x14ac:dyDescent="0.2">
      <c r="A23">
        <f>(E$9/(0.5*1.225*E$5^2*Aileron!B$7*Rudder!B$16))-((Rudder!E$17*Rudder!E$13)/Rudder!B$16)+((Rudder!E$17*Rudder!F23)/Rudder!B$16)</f>
        <v>0.95313476796806262</v>
      </c>
      <c r="B23" s="8">
        <f t="shared" si="3"/>
        <v>54.614622204569983</v>
      </c>
      <c r="C23">
        <f>0.5*1.225*E$5^2*Aileron!B$7*Aileron!B$13</f>
        <v>259704.57645223284</v>
      </c>
      <c r="D23">
        <f t="shared" si="0"/>
        <v>-8779.4613838369041</v>
      </c>
      <c r="E23">
        <f t="shared" si="1"/>
        <v>-7108.4869820165968</v>
      </c>
      <c r="F23" s="10">
        <v>0</v>
      </c>
      <c r="G23">
        <f t="shared" si="2"/>
        <v>0</v>
      </c>
    </row>
    <row r="24" spans="1:13" x14ac:dyDescent="0.2">
      <c r="A24">
        <f>(E$9/(0.5*1.225*E$5^2*Aileron!B$7*Rudder!B$16))-((Rudder!E$17*Rudder!E$13)/Rudder!B$16)+((Rudder!E$17*Rudder!F24)/Rudder!B$16)</f>
        <v>2.6664179732768467E-2</v>
      </c>
      <c r="B24" s="8">
        <f t="shared" si="3"/>
        <v>1.527857498687633</v>
      </c>
      <c r="C24">
        <f>0.5*1.225*E$5^2*Aileron!B$7*Aileron!B$13</f>
        <v>259704.57645223284</v>
      </c>
      <c r="D24">
        <f t="shared" si="0"/>
        <v>-1921.5257579327042</v>
      </c>
      <c r="E24">
        <f t="shared" si="1"/>
        <v>-351.85800099623589</v>
      </c>
      <c r="F24" s="10">
        <v>0.35</v>
      </c>
      <c r="G24">
        <f t="shared" si="2"/>
        <v>20.054999999999996</v>
      </c>
    </row>
    <row r="25" spans="1:13" x14ac:dyDescent="0.2">
      <c r="A25">
        <f>(E$9/(0.5*1.225*E$5^2*Aileron!B$7*Rudder!B$16))-((Rudder!E$17*Rudder!E$13)/Rudder!B$16)+((Rudder!E$17*Rudder!F25)/Rudder!B$16)</f>
        <v>-9.7064085025257985E-3</v>
      </c>
      <c r="B25" s="8">
        <f>A25*57.3</f>
        <v>-0.55617720719472818</v>
      </c>
      <c r="C25">
        <f>0.5*1.225*E$5^2*Aileron!B$7*Aileron!B$13</f>
        <v>259704.57645223284</v>
      </c>
      <c r="D25">
        <f t="shared" si="0"/>
        <v>-1652.3027993614919</v>
      </c>
      <c r="E25">
        <f t="shared" si="1"/>
        <v>-90.655614613250009</v>
      </c>
      <c r="F25" s="10">
        <v>0.36374000000000001</v>
      </c>
      <c r="G25">
        <f t="shared" si="2"/>
        <v>20.842302</v>
      </c>
    </row>
    <row r="26" spans="1:13" x14ac:dyDescent="0.2">
      <c r="A26">
        <f>(E$9/(0.5*1.225*E$5^2*Aileron!B$7*Rudder!B$16))-((Rudder!E$17*Rudder!E$13)/Rudder!B$16)+((Rudder!E$17*Rudder!F26)/Rudder!B$16)</f>
        <v>-2.0982879090761131E-2</v>
      </c>
      <c r="B26" s="8">
        <f>A26*57.3</f>
        <v>-1.2023189719006127</v>
      </c>
      <c r="C26">
        <f>0.5*1.225*E$5^2*Aileron!B$7*Aileron!B$13</f>
        <v>259704.57645223284</v>
      </c>
      <c r="D26">
        <f t="shared" si="0"/>
        <v>-1568.8319257433429</v>
      </c>
      <c r="E26">
        <f t="shared" si="1"/>
        <v>-9.7314134532366552</v>
      </c>
      <c r="F26" s="10">
        <v>0.36799999999999999</v>
      </c>
      <c r="G26">
        <f t="shared" si="2"/>
        <v>21.086399999999998</v>
      </c>
    </row>
    <row r="28" spans="1:13" x14ac:dyDescent="0.2">
      <c r="C28" s="19" t="s">
        <v>189</v>
      </c>
      <c r="D28" s="17"/>
      <c r="E28" s="17"/>
      <c r="F28" s="17"/>
      <c r="G28" s="17"/>
      <c r="H28" s="17"/>
      <c r="I28" s="17"/>
      <c r="J28" s="17"/>
      <c r="K28" s="17"/>
      <c r="L28" s="17"/>
    </row>
    <row r="29" spans="1:13" ht="17" x14ac:dyDescent="0.25">
      <c r="C29" s="19" t="s">
        <v>190</v>
      </c>
      <c r="D29" s="17"/>
      <c r="E29" s="17"/>
      <c r="F29" s="17"/>
      <c r="G29" s="17"/>
      <c r="H29" s="17"/>
      <c r="I29" s="17"/>
      <c r="J29" s="17"/>
    </row>
    <row r="31" spans="1:13" ht="17" x14ac:dyDescent="0.25">
      <c r="G31" s="1" t="s">
        <v>173</v>
      </c>
      <c r="H31" s="10">
        <v>0.36799999999999999</v>
      </c>
    </row>
    <row r="32" spans="1:13" ht="17" x14ac:dyDescent="0.25">
      <c r="A32" s="33" t="s">
        <v>174</v>
      </c>
      <c r="B32" s="33"/>
      <c r="C32" s="33"/>
      <c r="D32" s="33"/>
      <c r="G32" s="4" t="s">
        <v>77</v>
      </c>
      <c r="H32" s="9">
        <f>H31*57.3</f>
        <v>21.086399999999998</v>
      </c>
      <c r="J32" s="21" t="s">
        <v>191</v>
      </c>
      <c r="K32" s="17"/>
      <c r="L32" s="17"/>
      <c r="M32" s="17"/>
    </row>
    <row r="33" spans="1:14" ht="17" x14ac:dyDescent="0.25">
      <c r="B33" s="1" t="s">
        <v>125</v>
      </c>
      <c r="C33">
        <f>(Elevator!B13*Rudder!H3/4)/(-0.5*1.225*Rudder!H2^2*Aileron!B7*Aileron!B13*Rudder!B17)</f>
        <v>0.48407459102037681</v>
      </c>
      <c r="D33" t="s">
        <v>36</v>
      </c>
      <c r="G33" s="1" t="s">
        <v>126</v>
      </c>
      <c r="H33">
        <v>30</v>
      </c>
      <c r="K33" s="19" t="s">
        <v>192</v>
      </c>
      <c r="L33" s="17"/>
      <c r="M33" s="17"/>
      <c r="N33" s="17"/>
    </row>
    <row r="34" spans="1:14" x14ac:dyDescent="0.2">
      <c r="B34" s="4" t="s">
        <v>77</v>
      </c>
      <c r="C34" s="9">
        <f>C33*57.3</f>
        <v>27.737474065467591</v>
      </c>
      <c r="D34" t="s">
        <v>24</v>
      </c>
      <c r="K34" s="19" t="s">
        <v>175</v>
      </c>
      <c r="L34" s="17"/>
    </row>
    <row r="35" spans="1:14" ht="17" x14ac:dyDescent="0.25">
      <c r="B35" s="1" t="s">
        <v>126</v>
      </c>
      <c r="C35">
        <v>30</v>
      </c>
      <c r="D35" t="s">
        <v>24</v>
      </c>
    </row>
    <row r="36" spans="1:14" ht="17" x14ac:dyDescent="0.25">
      <c r="E36" s="15" t="s">
        <v>133</v>
      </c>
      <c r="F36">
        <f>SQRT((Elevator!B13*3.5/4)/(-0.5*1.225*Aileron!B7*Aileron!B13*Rudder!B17*Rudder!H33/57.3))</f>
        <v>22.223287229166282</v>
      </c>
      <c r="G36" t="s">
        <v>8</v>
      </c>
    </row>
    <row r="37" spans="1:14" x14ac:dyDescent="0.2">
      <c r="A37" s="32" t="s">
        <v>128</v>
      </c>
      <c r="B37" s="32"/>
      <c r="E37" s="4" t="s">
        <v>77</v>
      </c>
      <c r="F37" s="26">
        <f>F36/0.514</f>
        <v>43.235967371918832</v>
      </c>
      <c r="G37" t="s">
        <v>7</v>
      </c>
    </row>
    <row r="38" spans="1:14" x14ac:dyDescent="0.2">
      <c r="A38" t="s">
        <v>129</v>
      </c>
      <c r="B38" s="26">
        <f>G11*B11</f>
        <v>0.50388774260033076</v>
      </c>
      <c r="C38" t="s">
        <v>10</v>
      </c>
    </row>
    <row r="39" spans="1:14" x14ac:dyDescent="0.2">
      <c r="A39" t="s">
        <v>130</v>
      </c>
      <c r="B39" s="26">
        <f>E11*B3</f>
        <v>2.3514761321348767</v>
      </c>
      <c r="C39" t="s">
        <v>10</v>
      </c>
    </row>
    <row r="40" spans="1:14" ht="17" x14ac:dyDescent="0.2">
      <c r="A40" t="s">
        <v>132</v>
      </c>
      <c r="B40" s="26">
        <f>B38*B39</f>
        <v>1.1848800000000002</v>
      </c>
      <c r="C40" t="s">
        <v>46</v>
      </c>
    </row>
  </sheetData>
  <mergeCells count="3">
    <mergeCell ref="K2:N2"/>
    <mergeCell ref="A37:B37"/>
    <mergeCell ref="A32:D32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Aileron</vt:lpstr>
      <vt:lpstr>Elevator</vt:lpstr>
      <vt:lpstr>Rudder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Nyaga</dc:creator>
  <cp:lastModifiedBy>Geoffrey Nyaga</cp:lastModifiedBy>
  <dcterms:created xsi:type="dcterms:W3CDTF">2015-07-06T13:44:27Z</dcterms:created>
  <dcterms:modified xsi:type="dcterms:W3CDTF">2026-09-08T20:21:29Z</dcterms:modified>
</cp:coreProperties>
</file>